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1.xml" ContentType="application/vnd.openxmlformats-officedocument.drawing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jyoth\Desktop\NESTING EXCEL\new\"/>
    </mc:Choice>
  </mc:AlternateContent>
  <xr:revisionPtr revIDLastSave="0" documentId="13_ncr:1_{6CC3FC2F-7771-4929-91E6-02675510BB5D}" xr6:coauthVersionLast="47" xr6:coauthVersionMax="47" xr10:uidLastSave="{00000000-0000-0000-0000-000000000000}"/>
  <bookViews>
    <workbookView xWindow="-120" yWindow="-120" windowWidth="29040" windowHeight="15720" xr2:uid="{F40DF40F-01F6-431B-B4F1-66EE2D9F0165}"/>
  </bookViews>
  <sheets>
    <sheet name="INPUT_PARTS" sheetId="6" r:id="rId1"/>
    <sheet name="MATERIAL_SUMMARY" sheetId="5" r:id="rId2"/>
    <sheet name="PURCHASE_PLAN" sheetId="4" r:id="rId3"/>
    <sheet name="NEST_BASIC" sheetId="3" r:id="rId4"/>
    <sheet name="NEST_FINAL" sheetId="2" r:id="rId5"/>
    <sheet name="CUTLIST" sheetId="1" r:id="rId6"/>
  </sheets>
  <definedNames>
    <definedName name="DefaultFaceAllow_in">INPUT_PARTS!$J$3</definedName>
    <definedName name="DefaultKerf_in">INPUT_PARTS!$J$2</definedName>
    <definedName name="LastCutlistGen">INPUT_PARTS!$J$8</definedName>
    <definedName name="LastFinalRun">INPUT_PARTS!$J$7</definedName>
    <definedName name="Materials">INPUT_PARTS!$G$3:$G$102</definedName>
    <definedName name="MaxPartRows">INPUT_PARTS!$J$5</definedName>
    <definedName name="MaxPieces">INPUT_PARTS!$J$6</definedName>
    <definedName name="MinRemnantKeep_in">INPUT_PARTS!$J$4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111" i="6" l="1"/>
  <c r="L112" i="6"/>
  <c r="L113" i="6"/>
  <c r="L114" i="6"/>
  <c r="L115" i="6"/>
  <c r="L116" i="6"/>
  <c r="L117" i="6"/>
  <c r="L118" i="6"/>
  <c r="L119" i="6"/>
  <c r="L120" i="6"/>
  <c r="L121" i="6"/>
  <c r="L122" i="6"/>
  <c r="L123" i="6"/>
  <c r="L124" i="6"/>
  <c r="L125" i="6"/>
  <c r="L126" i="6"/>
  <c r="L127" i="6"/>
  <c r="L128" i="6"/>
  <c r="L129" i="6"/>
  <c r="L130" i="6"/>
  <c r="L131" i="6"/>
  <c r="L132" i="6"/>
  <c r="L133" i="6"/>
  <c r="L134" i="6"/>
  <c r="L135" i="6"/>
  <c r="L136" i="6"/>
  <c r="L137" i="6"/>
  <c r="L138" i="6"/>
  <c r="L139" i="6"/>
  <c r="L140" i="6"/>
  <c r="L141" i="6"/>
  <c r="L142" i="6"/>
  <c r="L143" i="6"/>
  <c r="L144" i="6"/>
  <c r="L145" i="6"/>
  <c r="L146" i="6"/>
  <c r="L147" i="6"/>
  <c r="L148" i="6"/>
  <c r="L149" i="6"/>
  <c r="L150" i="6"/>
  <c r="L151" i="6"/>
  <c r="L152" i="6"/>
  <c r="L153" i="6"/>
  <c r="L154" i="6"/>
  <c r="L155" i="6"/>
  <c r="L156" i="6"/>
  <c r="L157" i="6"/>
  <c r="L158" i="6"/>
  <c r="L159" i="6"/>
  <c r="L160" i="6"/>
  <c r="L161" i="6"/>
  <c r="L162" i="6"/>
  <c r="L163" i="6"/>
  <c r="L164" i="6"/>
  <c r="L165" i="6"/>
  <c r="L166" i="6"/>
  <c r="L167" i="6"/>
  <c r="L168" i="6"/>
  <c r="L169" i="6"/>
  <c r="L170" i="6"/>
  <c r="L171" i="6"/>
  <c r="L172" i="6"/>
  <c r="L173" i="6"/>
  <c r="L174" i="6"/>
  <c r="L175" i="6"/>
  <c r="L176" i="6"/>
  <c r="L177" i="6"/>
  <c r="L178" i="6"/>
  <c r="L179" i="6"/>
  <c r="L180" i="6"/>
  <c r="L181" i="6"/>
  <c r="L182" i="6"/>
  <c r="L183" i="6"/>
  <c r="L184" i="6"/>
  <c r="L185" i="6"/>
  <c r="L186" i="6"/>
  <c r="L187" i="6"/>
  <c r="L188" i="6"/>
  <c r="L189" i="6"/>
  <c r="L190" i="6"/>
  <c r="L191" i="6"/>
  <c r="L192" i="6"/>
  <c r="L193" i="6"/>
  <c r="L194" i="6"/>
  <c r="L195" i="6"/>
  <c r="L196" i="6"/>
  <c r="L197" i="6"/>
  <c r="L198" i="6"/>
  <c r="L199" i="6"/>
  <c r="L200" i="6"/>
  <c r="L201" i="6"/>
  <c r="L202" i="6"/>
  <c r="L203" i="6"/>
  <c r="L204" i="6"/>
  <c r="L205" i="6"/>
  <c r="L206" i="6"/>
  <c r="L207" i="6"/>
  <c r="L208" i="6"/>
  <c r="L209" i="6"/>
  <c r="L210" i="6"/>
  <c r="K119" i="6"/>
  <c r="K120" i="6"/>
  <c r="K121" i="6"/>
  <c r="K122" i="6"/>
  <c r="K135" i="6"/>
  <c r="K137" i="6"/>
  <c r="K138" i="6"/>
  <c r="K151" i="6"/>
  <c r="K153" i="6"/>
  <c r="K154" i="6"/>
  <c r="K169" i="6"/>
  <c r="K170" i="6"/>
  <c r="K185" i="6"/>
  <c r="K186" i="6"/>
  <c r="K201" i="6"/>
  <c r="K202" i="6"/>
  <c r="J111" i="6"/>
  <c r="K111" i="6" s="1"/>
  <c r="J112" i="6"/>
  <c r="K112" i="6" s="1"/>
  <c r="J113" i="6"/>
  <c r="K113" i="6" s="1"/>
  <c r="J114" i="6"/>
  <c r="K114" i="6" s="1"/>
  <c r="J115" i="6"/>
  <c r="K115" i="6" s="1"/>
  <c r="J116" i="6"/>
  <c r="K116" i="6" s="1"/>
  <c r="J117" i="6"/>
  <c r="K117" i="6" s="1"/>
  <c r="J118" i="6"/>
  <c r="K118" i="6" s="1"/>
  <c r="J119" i="6"/>
  <c r="J120" i="6"/>
  <c r="J121" i="6"/>
  <c r="J122" i="6"/>
  <c r="J123" i="6"/>
  <c r="K123" i="6" s="1"/>
  <c r="J124" i="6"/>
  <c r="K124" i="6" s="1"/>
  <c r="J125" i="6"/>
  <c r="K125" i="6" s="1"/>
  <c r="J126" i="6"/>
  <c r="K126" i="6" s="1"/>
  <c r="J127" i="6"/>
  <c r="K127" i="6" s="1"/>
  <c r="J128" i="6"/>
  <c r="K128" i="6" s="1"/>
  <c r="J129" i="6"/>
  <c r="K129" i="6" s="1"/>
  <c r="J130" i="6"/>
  <c r="K130" i="6" s="1"/>
  <c r="J131" i="6"/>
  <c r="K131" i="6" s="1"/>
  <c r="J132" i="6"/>
  <c r="K132" i="6" s="1"/>
  <c r="J133" i="6"/>
  <c r="K133" i="6" s="1"/>
  <c r="J134" i="6"/>
  <c r="K134" i="6" s="1"/>
  <c r="J135" i="6"/>
  <c r="J136" i="6"/>
  <c r="K136" i="6" s="1"/>
  <c r="J137" i="6"/>
  <c r="J138" i="6"/>
  <c r="J139" i="6"/>
  <c r="K139" i="6" s="1"/>
  <c r="J140" i="6"/>
  <c r="K140" i="6" s="1"/>
  <c r="J141" i="6"/>
  <c r="K141" i="6" s="1"/>
  <c r="J142" i="6"/>
  <c r="K142" i="6" s="1"/>
  <c r="J143" i="6"/>
  <c r="K143" i="6" s="1"/>
  <c r="J144" i="6"/>
  <c r="K144" i="6" s="1"/>
  <c r="J145" i="6"/>
  <c r="K145" i="6" s="1"/>
  <c r="J146" i="6"/>
  <c r="K146" i="6" s="1"/>
  <c r="J147" i="6"/>
  <c r="K147" i="6" s="1"/>
  <c r="J148" i="6"/>
  <c r="K148" i="6" s="1"/>
  <c r="J149" i="6"/>
  <c r="K149" i="6" s="1"/>
  <c r="J150" i="6"/>
  <c r="K150" i="6" s="1"/>
  <c r="J151" i="6"/>
  <c r="J152" i="6"/>
  <c r="K152" i="6" s="1"/>
  <c r="J153" i="6"/>
  <c r="J154" i="6"/>
  <c r="J155" i="6"/>
  <c r="K155" i="6" s="1"/>
  <c r="J156" i="6"/>
  <c r="K156" i="6" s="1"/>
  <c r="J157" i="6"/>
  <c r="K157" i="6" s="1"/>
  <c r="J158" i="6"/>
  <c r="K158" i="6" s="1"/>
  <c r="J159" i="6"/>
  <c r="K159" i="6" s="1"/>
  <c r="J160" i="6"/>
  <c r="K160" i="6" s="1"/>
  <c r="J161" i="6"/>
  <c r="K161" i="6" s="1"/>
  <c r="J162" i="6"/>
  <c r="K162" i="6" s="1"/>
  <c r="J163" i="6"/>
  <c r="K163" i="6" s="1"/>
  <c r="J164" i="6"/>
  <c r="K164" i="6" s="1"/>
  <c r="J165" i="6"/>
  <c r="K165" i="6" s="1"/>
  <c r="J166" i="6"/>
  <c r="K166" i="6" s="1"/>
  <c r="J167" i="6"/>
  <c r="K167" i="6" s="1"/>
  <c r="J168" i="6"/>
  <c r="K168" i="6" s="1"/>
  <c r="J169" i="6"/>
  <c r="J170" i="6"/>
  <c r="J171" i="6"/>
  <c r="K171" i="6" s="1"/>
  <c r="J172" i="6"/>
  <c r="K172" i="6" s="1"/>
  <c r="J173" i="6"/>
  <c r="K173" i="6" s="1"/>
  <c r="J174" i="6"/>
  <c r="K174" i="6" s="1"/>
  <c r="J175" i="6"/>
  <c r="K175" i="6" s="1"/>
  <c r="J176" i="6"/>
  <c r="K176" i="6" s="1"/>
  <c r="J177" i="6"/>
  <c r="K177" i="6" s="1"/>
  <c r="J178" i="6"/>
  <c r="K178" i="6" s="1"/>
  <c r="J179" i="6"/>
  <c r="K179" i="6" s="1"/>
  <c r="J180" i="6"/>
  <c r="K180" i="6" s="1"/>
  <c r="J181" i="6"/>
  <c r="K181" i="6" s="1"/>
  <c r="J182" i="6"/>
  <c r="K182" i="6" s="1"/>
  <c r="J183" i="6"/>
  <c r="K183" i="6" s="1"/>
  <c r="J184" i="6"/>
  <c r="K184" i="6" s="1"/>
  <c r="J185" i="6"/>
  <c r="J186" i="6"/>
  <c r="J187" i="6"/>
  <c r="K187" i="6" s="1"/>
  <c r="J188" i="6"/>
  <c r="K188" i="6" s="1"/>
  <c r="J189" i="6"/>
  <c r="K189" i="6" s="1"/>
  <c r="J190" i="6"/>
  <c r="K190" i="6" s="1"/>
  <c r="J191" i="6"/>
  <c r="K191" i="6" s="1"/>
  <c r="J192" i="6"/>
  <c r="K192" i="6" s="1"/>
  <c r="J193" i="6"/>
  <c r="K193" i="6" s="1"/>
  <c r="J194" i="6"/>
  <c r="K194" i="6" s="1"/>
  <c r="J195" i="6"/>
  <c r="K195" i="6" s="1"/>
  <c r="J196" i="6"/>
  <c r="K196" i="6" s="1"/>
  <c r="J197" i="6"/>
  <c r="K197" i="6" s="1"/>
  <c r="J198" i="6"/>
  <c r="K198" i="6" s="1"/>
  <c r="J199" i="6"/>
  <c r="K199" i="6" s="1"/>
  <c r="J200" i="6"/>
  <c r="K200" i="6" s="1"/>
  <c r="J201" i="6"/>
  <c r="J202" i="6"/>
  <c r="J203" i="6"/>
  <c r="K203" i="6" s="1"/>
  <c r="J204" i="6"/>
  <c r="K204" i="6" s="1"/>
  <c r="J205" i="6"/>
  <c r="K205" i="6" s="1"/>
  <c r="J206" i="6"/>
  <c r="K206" i="6" s="1"/>
  <c r="J207" i="6"/>
  <c r="K207" i="6" s="1"/>
  <c r="J208" i="6"/>
  <c r="K208" i="6" s="1"/>
  <c r="J209" i="6"/>
  <c r="K209" i="6" s="1"/>
  <c r="J210" i="6"/>
  <c r="K210" i="6" s="1"/>
</calcChain>
</file>

<file path=xl/sharedStrings.xml><?xml version="1.0" encoding="utf-8"?>
<sst xmlns="http://schemas.openxmlformats.org/spreadsheetml/2006/main" count="2407" uniqueCount="657">
  <si>
    <t>ROUND BAR NESTING INPUT</t>
  </si>
  <si>
    <t>Setup values and materials list are above.</t>
  </si>
  <si>
    <t>Materials</t>
  </si>
  <si>
    <t>12L14</t>
  </si>
  <si>
    <t>17-4PH</t>
  </si>
  <si>
    <t>O1</t>
  </si>
  <si>
    <t>D2</t>
  </si>
  <si>
    <t>H13</t>
  </si>
  <si>
    <t>A2</t>
  </si>
  <si>
    <t>Brass360</t>
  </si>
  <si>
    <t>Al6061</t>
  </si>
  <si>
    <t>Al7075</t>
  </si>
  <si>
    <t>Ti-6Al-4V</t>
  </si>
  <si>
    <t>Monel400</t>
  </si>
  <si>
    <t>Inconel625</t>
  </si>
  <si>
    <t>UHMW</t>
  </si>
  <si>
    <t>Acetal</t>
  </si>
  <si>
    <t>DefaultKerf_in</t>
  </si>
  <si>
    <t>DefaultFaceAllow_in</t>
  </si>
  <si>
    <t>MinRemnantKeep_in</t>
  </si>
  <si>
    <t>MaxPartRows</t>
  </si>
  <si>
    <t>MaxPieces</t>
  </si>
  <si>
    <t>LastFinalRun</t>
  </si>
  <si>
    <t>LastCutlistGen</t>
  </si>
  <si>
    <t>Job</t>
  </si>
  <si>
    <t>PartNo</t>
  </si>
  <si>
    <t>Material</t>
  </si>
  <si>
    <t>Diameter_in</t>
  </si>
  <si>
    <t>FinishLen_in</t>
  </si>
  <si>
    <t>ExtraStock_in</t>
  </si>
  <si>
    <t>Qty</t>
  </si>
  <si>
    <t>Kerf_in</t>
  </si>
  <si>
    <t>FaceAllow_in</t>
  </si>
  <si>
    <t>RequiredCutLen_in</t>
  </si>
  <si>
    <t>TotalLenReq_in</t>
  </si>
  <si>
    <t>StockKey</t>
  </si>
  <si>
    <t>TotalReq_in</t>
  </si>
  <si>
    <t>TotalReq_ft</t>
  </si>
  <si>
    <t>BuyLen1_in</t>
  </si>
  <si>
    <t>BuyLen2_in</t>
  </si>
  <si>
    <t>PreferBuyLen1</t>
  </si>
  <si>
    <t>Notes</t>
  </si>
  <si>
    <t>BarsNeeded_BASIC</t>
  </si>
  <si>
    <t>BarsNeeded_FINAL</t>
  </si>
  <si>
    <t>PurchasedLen_FINAL</t>
  </si>
  <si>
    <t>TotalDrop_FINAL</t>
  </si>
  <si>
    <t>Waste%_FINAL</t>
  </si>
  <si>
    <t>ScrapLen_FINAL</t>
  </si>
  <si>
    <t>RemnantLen_FINAL</t>
  </si>
  <si>
    <t>Scrap%_FINAL</t>
  </si>
  <si>
    <t>Remnant%_FINAL</t>
  </si>
  <si>
    <t>BuyLen_in</t>
  </si>
  <si>
    <t>PieceID</t>
  </si>
  <si>
    <t>CutLen_in</t>
  </si>
  <si>
    <t>Bar#</t>
  </si>
  <si>
    <t>RemainingBefore_in</t>
  </si>
  <si>
    <t>RemainingAfter_in</t>
  </si>
  <si>
    <t>IsBarEnd</t>
  </si>
  <si>
    <t>LeftoverAtEnd_in</t>
  </si>
  <si>
    <t>RemnantStatus</t>
  </si>
  <si>
    <t>Pieces</t>
  </si>
  <si>
    <t>UsedLen_in</t>
  </si>
  <si>
    <t>Leftover_in</t>
  </si>
  <si>
    <t>Util%</t>
  </si>
  <si>
    <t>RB-0001</t>
  </si>
  <si>
    <t>RB-0002</t>
  </si>
  <si>
    <t>RB-0003</t>
  </si>
  <si>
    <t>RB-0004</t>
  </si>
  <si>
    <t>RB-0005</t>
  </si>
  <si>
    <t>RB-0006</t>
  </si>
  <si>
    <t>RB-0007</t>
  </si>
  <si>
    <t>RB-0008</t>
  </si>
  <si>
    <t>RB-0009</t>
  </si>
  <si>
    <t>RB-0010</t>
  </si>
  <si>
    <t>RB-0011</t>
  </si>
  <si>
    <t>RB-0012</t>
  </si>
  <si>
    <t>RB-0013</t>
  </si>
  <si>
    <t>RB-0014</t>
  </si>
  <si>
    <t>RB-0015</t>
  </si>
  <si>
    <t>RB-0016</t>
  </si>
  <si>
    <t>RB-0017</t>
  </si>
  <si>
    <t>RB-0018</t>
  </si>
  <si>
    <t>RB-0019</t>
  </si>
  <si>
    <t>RB-0020</t>
  </si>
  <si>
    <t>RB-0021</t>
  </si>
  <si>
    <t>RB-0022</t>
  </si>
  <si>
    <t>RB-0023</t>
  </si>
  <si>
    <t>RB-0024</t>
  </si>
  <si>
    <t>RB-0025</t>
  </si>
  <si>
    <t>RB-0026</t>
  </si>
  <si>
    <t>RB-0027</t>
  </si>
  <si>
    <t>RB-0028</t>
  </si>
  <si>
    <t>RB-0029</t>
  </si>
  <si>
    <t>RB-0030</t>
  </si>
  <si>
    <t>RB-0031</t>
  </si>
  <si>
    <t>RB-0032</t>
  </si>
  <si>
    <t>RB-0033</t>
  </si>
  <si>
    <t>RB-0034</t>
  </si>
  <si>
    <t>RB-0035</t>
  </si>
  <si>
    <t>RB-0036</t>
  </si>
  <si>
    <t>RB-0037</t>
  </si>
  <si>
    <t>RB-0038</t>
  </si>
  <si>
    <t>RB-0039</t>
  </si>
  <si>
    <t>RB-0040</t>
  </si>
  <si>
    <t>RB-0041</t>
  </si>
  <si>
    <t>RB-0042</t>
  </si>
  <si>
    <t>RB-0043</t>
  </si>
  <si>
    <t>RB-0044</t>
  </si>
  <si>
    <t>RB-0045</t>
  </si>
  <si>
    <t>RB-0046</t>
  </si>
  <si>
    <t>RB-0047</t>
  </si>
  <si>
    <t>RB-0048</t>
  </si>
  <si>
    <t>RB-0049</t>
  </si>
  <si>
    <t>RB-0050</t>
  </si>
  <si>
    <t>RB-0051</t>
  </si>
  <si>
    <t>RB-0052</t>
  </si>
  <si>
    <t>RB-0053</t>
  </si>
  <si>
    <t>RB-0054</t>
  </si>
  <si>
    <t>RB-0055</t>
  </si>
  <si>
    <t>RB-0056</t>
  </si>
  <si>
    <t>RB-0057</t>
  </si>
  <si>
    <t>RB-0058</t>
  </si>
  <si>
    <t>RB-0059</t>
  </si>
  <si>
    <t>RB-0060</t>
  </si>
  <si>
    <t>RB-0061</t>
  </si>
  <si>
    <t>RB-0062</t>
  </si>
  <si>
    <t>RB-0063</t>
  </si>
  <si>
    <t>RB-0064</t>
  </si>
  <si>
    <t>RB-0065</t>
  </si>
  <si>
    <t>RB-0066</t>
  </si>
  <si>
    <t>RB-0067</t>
  </si>
  <si>
    <t>RB-0068</t>
  </si>
  <si>
    <t>RB-0069</t>
  </si>
  <si>
    <t>RB-0070</t>
  </si>
  <si>
    <t>RB-0071</t>
  </si>
  <si>
    <t>RB-0072</t>
  </si>
  <si>
    <t>RB-0073</t>
  </si>
  <si>
    <t>RB-0074</t>
  </si>
  <si>
    <t>RB-0075</t>
  </si>
  <si>
    <t>RB-0076</t>
  </si>
  <si>
    <t>RB-0077</t>
  </si>
  <si>
    <t>RB-0078</t>
  </si>
  <si>
    <t>RB-0079</t>
  </si>
  <si>
    <t>RB-0080</t>
  </si>
  <si>
    <t>RB-0081</t>
  </si>
  <si>
    <t>RB-0082</t>
  </si>
  <si>
    <t>RB-0083</t>
  </si>
  <si>
    <t>RB-0084</t>
  </si>
  <si>
    <t>RB-0085</t>
  </si>
  <si>
    <t>RB-0086</t>
  </si>
  <si>
    <t>RB-0087</t>
  </si>
  <si>
    <t>RB-0088</t>
  </si>
  <si>
    <t>RB-0089</t>
  </si>
  <si>
    <t>RB-0090</t>
  </si>
  <si>
    <t>RB-0091</t>
  </si>
  <si>
    <t>RB-0092</t>
  </si>
  <si>
    <t>RB-0093</t>
  </si>
  <si>
    <t>RB-0094</t>
  </si>
  <si>
    <t>RB-0095</t>
  </si>
  <si>
    <t>RB-0096</t>
  </si>
  <si>
    <t>RB-0097</t>
  </si>
  <si>
    <t>RB-0098</t>
  </si>
  <si>
    <t>RB-0099</t>
  </si>
  <si>
    <t>RB-0100</t>
  </si>
  <si>
    <t>1018|0.500</t>
  </si>
  <si>
    <t>12L14|0.625</t>
  </si>
  <si>
    <t>17-4PH|1.125</t>
  </si>
  <si>
    <t>304|1.250</t>
  </si>
  <si>
    <t>316|1.375</t>
  </si>
  <si>
    <t>4140|0.750</t>
  </si>
  <si>
    <t>4340|0.875</t>
  </si>
  <si>
    <t>8620|1.000</t>
  </si>
  <si>
    <t>A2|1.875</t>
  </si>
  <si>
    <t>Acetal|4.000</t>
  </si>
  <si>
    <t>Al6061|2.125</t>
  </si>
  <si>
    <t>Al7075|2.250</t>
  </si>
  <si>
    <t>Brass360|2.000</t>
  </si>
  <si>
    <t>D2|1.625</t>
  </si>
  <si>
    <t>H13|1.750</t>
  </si>
  <si>
    <t>Inconel625|3.000</t>
  </si>
  <si>
    <t>Monel400|2.750</t>
  </si>
  <si>
    <t>O1|1.500</t>
  </si>
  <si>
    <t>Ti-6Al-4V|2.500</t>
  </si>
  <si>
    <t>UHMW|3.500</t>
  </si>
  <si>
    <t>RB-0050-001</t>
  </si>
  <si>
    <t>RB-0028-001</t>
  </si>
  <si>
    <t>RB-0028-002</t>
  </si>
  <si>
    <t>KEEP</t>
  </si>
  <si>
    <t>RB-0028-003</t>
  </si>
  <si>
    <t>RB-0010-001</t>
  </si>
  <si>
    <t>RB-0010-002</t>
  </si>
  <si>
    <t>RB-0010-003</t>
  </si>
  <si>
    <t>RB-0010-004</t>
  </si>
  <si>
    <t>RB-0078-001</t>
  </si>
  <si>
    <t>RB-0009-001</t>
  </si>
  <si>
    <t>RB-0009-002</t>
  </si>
  <si>
    <t>RB-0009-003</t>
  </si>
  <si>
    <t>SCRAP</t>
  </si>
  <si>
    <t>RB-0036-001</t>
  </si>
  <si>
    <t>RB-0036-002</t>
  </si>
  <si>
    <t>RB-0036-003</t>
  </si>
  <si>
    <t>RB-0019-001</t>
  </si>
  <si>
    <t>RB-0008-001</t>
  </si>
  <si>
    <t>RB-0008-002</t>
  </si>
  <si>
    <t>RB-0008-003</t>
  </si>
  <si>
    <t>RB-0008-004</t>
  </si>
  <si>
    <t>RB-0008-005</t>
  </si>
  <si>
    <t>RB-0015-001</t>
  </si>
  <si>
    <t>RB-0015-002</t>
  </si>
  <si>
    <t>RB-0015-003</t>
  </si>
  <si>
    <t>RB-0015-004</t>
  </si>
  <si>
    <t>RB-0040-001</t>
  </si>
  <si>
    <t>RB-0040-002</t>
  </si>
  <si>
    <t>RB-0040-003</t>
  </si>
  <si>
    <t>RB-0040-004</t>
  </si>
  <si>
    <t>RB-0040-005</t>
  </si>
  <si>
    <t>RB-0046-001</t>
  </si>
  <si>
    <t>RB-0046-002</t>
  </si>
  <si>
    <t>RB-0046-003</t>
  </si>
  <si>
    <t>RB-0046-004</t>
  </si>
  <si>
    <t>RB-0056-001</t>
  </si>
  <si>
    <t>RB-0056-002</t>
  </si>
  <si>
    <t>RB-0056-003</t>
  </si>
  <si>
    <t>RB-0011-001</t>
  </si>
  <si>
    <t>RB-0039-001</t>
  </si>
  <si>
    <t>RB-0013-001</t>
  </si>
  <si>
    <t>RB-0013-002</t>
  </si>
  <si>
    <t>RB-0080-001</t>
  </si>
  <si>
    <t>RB-0029-001</t>
  </si>
  <si>
    <t>RB-0069-001</t>
  </si>
  <si>
    <t>RB-0069-002</t>
  </si>
  <si>
    <t>RB-0085-001</t>
  </si>
  <si>
    <t>RB-0085-002</t>
  </si>
  <si>
    <t>RB-0085-003</t>
  </si>
  <si>
    <t>RB-0093-001</t>
  </si>
  <si>
    <t>RB-0093-002</t>
  </si>
  <si>
    <t>RB-0093-003</t>
  </si>
  <si>
    <t>RB-0093-004</t>
  </si>
  <si>
    <t>RB-0093-005</t>
  </si>
  <si>
    <t>RB-0020-001</t>
  </si>
  <si>
    <t>RB-0020-002</t>
  </si>
  <si>
    <t>RB-0020-003</t>
  </si>
  <si>
    <t>RB-0020-004</t>
  </si>
  <si>
    <t>RB-0020-005</t>
  </si>
  <si>
    <t>RB-0077-001</t>
  </si>
  <si>
    <t>RB-0077-002</t>
  </si>
  <si>
    <t>RB-0087-001</t>
  </si>
  <si>
    <t>RB-0087-002</t>
  </si>
  <si>
    <t>RB-0087-003</t>
  </si>
  <si>
    <t>RB-0087-004</t>
  </si>
  <si>
    <t>RB-0066-001</t>
  </si>
  <si>
    <t>RB-0066-002</t>
  </si>
  <si>
    <t>RB-0066-003</t>
  </si>
  <si>
    <t>RB-0063-001</t>
  </si>
  <si>
    <t>RB-0063-002</t>
  </si>
  <si>
    <t>RB-0063-003</t>
  </si>
  <si>
    <t>RB-0063-004</t>
  </si>
  <si>
    <t>RB-0054-001</t>
  </si>
  <si>
    <t>RB-0054-002</t>
  </si>
  <si>
    <t>RB-0054-003</t>
  </si>
  <si>
    <t>RB-0054-004</t>
  </si>
  <si>
    <t>RB-0054-005</t>
  </si>
  <si>
    <t>RB-0054-006</t>
  </si>
  <si>
    <t>RB-0026-001</t>
  </si>
  <si>
    <t>RB-0026-002</t>
  </si>
  <si>
    <t>RB-0026-003</t>
  </si>
  <si>
    <t>RB-0035-001</t>
  </si>
  <si>
    <t>RB-0068-001</t>
  </si>
  <si>
    <t>RB-0068-002</t>
  </si>
  <si>
    <t>RB-0068-003</t>
  </si>
  <si>
    <t>RB-0068-004</t>
  </si>
  <si>
    <t>RB-0044-001</t>
  </si>
  <si>
    <t>RB-0014-001</t>
  </si>
  <si>
    <t>RB-0025-001</t>
  </si>
  <si>
    <t>RB-0049-001</t>
  </si>
  <si>
    <t>RB-0001-001</t>
  </si>
  <si>
    <t>RB-0092-001</t>
  </si>
  <si>
    <t>RB-0048-001</t>
  </si>
  <si>
    <t>RB-0048-002</t>
  </si>
  <si>
    <t>RB-0055-001</t>
  </si>
  <si>
    <t>RB-0057-001</t>
  </si>
  <si>
    <t>RB-0004-001</t>
  </si>
  <si>
    <t>RB-0089-001</t>
  </si>
  <si>
    <t>RB-0070-001</t>
  </si>
  <si>
    <t>RB-0031-001</t>
  </si>
  <si>
    <t>RB-0031-002</t>
  </si>
  <si>
    <t>RB-0031-003</t>
  </si>
  <si>
    <t>RB-0031-004</t>
  </si>
  <si>
    <t>RB-0086-001</t>
  </si>
  <si>
    <t>RB-0086-002</t>
  </si>
  <si>
    <t>RB-0086-003</t>
  </si>
  <si>
    <t>RB-0021-001</t>
  </si>
  <si>
    <t>RB-0021-002</t>
  </si>
  <si>
    <t>RB-0021-003</t>
  </si>
  <si>
    <t>RB-0088-001</t>
  </si>
  <si>
    <t>RB-0064-001</t>
  </si>
  <si>
    <t>RB-0064-002</t>
  </si>
  <si>
    <t>RB-0064-003</t>
  </si>
  <si>
    <t>RB-0083-001</t>
  </si>
  <si>
    <t>RB-0097-001</t>
  </si>
  <si>
    <t>RB-0097-002</t>
  </si>
  <si>
    <t>RB-0097-003</t>
  </si>
  <si>
    <t>RB-0097-004</t>
  </si>
  <si>
    <t>RB-0097-005</t>
  </si>
  <si>
    <t>RB-0090-001</t>
  </si>
  <si>
    <t>RB-0090-002</t>
  </si>
  <si>
    <t>RB-0090-003</t>
  </si>
  <si>
    <t>RB-0090-004</t>
  </si>
  <si>
    <t>RB-0090-005</t>
  </si>
  <si>
    <t>RB-0065-001</t>
  </si>
  <si>
    <t>RB-0065-002</t>
  </si>
  <si>
    <t>RB-0045-001</t>
  </si>
  <si>
    <t>RB-0045-002</t>
  </si>
  <si>
    <t>RB-0045-003</t>
  </si>
  <si>
    <t>RB-0076-001</t>
  </si>
  <si>
    <t>RB-0012-001</t>
  </si>
  <si>
    <t>RB-0053-001</t>
  </si>
  <si>
    <t>RB-0082-001</t>
  </si>
  <si>
    <t>RB-0082-002</t>
  </si>
  <si>
    <t>RB-0082-003</t>
  </si>
  <si>
    <t>RB-0052-001</t>
  </si>
  <si>
    <t>RB-0052-002</t>
  </si>
  <si>
    <t>RB-0052-003</t>
  </si>
  <si>
    <t>RB-0052-004</t>
  </si>
  <si>
    <t>RB-0095-001</t>
  </si>
  <si>
    <t>RB-0095-002</t>
  </si>
  <si>
    <t>RB-0095-003</t>
  </si>
  <si>
    <t>RB-0095-004</t>
  </si>
  <si>
    <t>RB-0095-005</t>
  </si>
  <si>
    <t>RB-0042-001</t>
  </si>
  <si>
    <t>RB-0071-001</t>
  </si>
  <si>
    <t>RB-0071-002</t>
  </si>
  <si>
    <t>RB-0071-003</t>
  </si>
  <si>
    <t>RB-0071-004</t>
  </si>
  <si>
    <t>RB-0071-005</t>
  </si>
  <si>
    <t>RB-0091-001</t>
  </si>
  <si>
    <t>RB-0084-001</t>
  </si>
  <si>
    <t>RB-0067-001</t>
  </si>
  <si>
    <t>RB-0067-002</t>
  </si>
  <si>
    <t>RB-0067-003</t>
  </si>
  <si>
    <t>RB-0038-001</t>
  </si>
  <si>
    <t>RB-0033-001</t>
  </si>
  <si>
    <t>RB-0033-002</t>
  </si>
  <si>
    <t>RB-0081-001</t>
  </si>
  <si>
    <t>RB-0081-002</t>
  </si>
  <si>
    <t>RB-0081-003</t>
  </si>
  <si>
    <t>RB-0060-001</t>
  </si>
  <si>
    <t>RB-0060-002</t>
  </si>
  <si>
    <t>RB-0060-003</t>
  </si>
  <si>
    <t>RB-0060-004</t>
  </si>
  <si>
    <t>RB-0032-001</t>
  </si>
  <si>
    <t>RB-0032-002</t>
  </si>
  <si>
    <t>RB-0032-003</t>
  </si>
  <si>
    <t>RB-0027-001</t>
  </si>
  <si>
    <t>RB-0098-001</t>
  </si>
  <si>
    <t>RB-0098-002</t>
  </si>
  <si>
    <t>RB-0024-001</t>
  </si>
  <si>
    <t>RB-0024-002</t>
  </si>
  <si>
    <t>RB-0024-003</t>
  </si>
  <si>
    <t>RB-0024-004</t>
  </si>
  <si>
    <t>RB-0024-005</t>
  </si>
  <si>
    <t>RB-0024-006</t>
  </si>
  <si>
    <t>RB-0023-001</t>
  </si>
  <si>
    <t>RB-0023-002</t>
  </si>
  <si>
    <t>RB-0023-003</t>
  </si>
  <si>
    <t>RB-0023-004</t>
  </si>
  <si>
    <t>RB-0072-001</t>
  </si>
  <si>
    <t>RB-0072-002</t>
  </si>
  <si>
    <t>RB-0072-003</t>
  </si>
  <si>
    <t>RB-0075-001</t>
  </si>
  <si>
    <t>RB-0059-001</t>
  </si>
  <si>
    <t>RB-0059-002</t>
  </si>
  <si>
    <t>RB-0037-001</t>
  </si>
  <si>
    <t>RB-0037-002</t>
  </si>
  <si>
    <t>RB-0037-003</t>
  </si>
  <si>
    <t>RB-0074-001</t>
  </si>
  <si>
    <t>RB-0074-002</t>
  </si>
  <si>
    <t>RB-0074-003</t>
  </si>
  <si>
    <t>RB-0018-001</t>
  </si>
  <si>
    <t>RB-0003-001</t>
  </si>
  <si>
    <t>RB-0003-002</t>
  </si>
  <si>
    <t>RB-0079-001</t>
  </si>
  <si>
    <t>RB-0079-002</t>
  </si>
  <si>
    <t>RB-0079-003</t>
  </si>
  <si>
    <t>RB-0079-004</t>
  </si>
  <si>
    <t>RB-0030-001</t>
  </si>
  <si>
    <t>RB-0030-002</t>
  </si>
  <si>
    <t>RB-0030-003</t>
  </si>
  <si>
    <t>RB-0030-004</t>
  </si>
  <si>
    <t>RB-0030-005</t>
  </si>
  <si>
    <t>RB-0094-001</t>
  </si>
  <si>
    <t>RB-0005-001</t>
  </si>
  <si>
    <t>RB-0005-002</t>
  </si>
  <si>
    <t>RB-0005-003</t>
  </si>
  <si>
    <t>RB-0005-004</t>
  </si>
  <si>
    <t>RB-0005-005</t>
  </si>
  <si>
    <t>RB-0099-001</t>
  </si>
  <si>
    <t>RB-0099-002</t>
  </si>
  <si>
    <t>RB-0099-003</t>
  </si>
  <si>
    <t>RB-0096-001</t>
  </si>
  <si>
    <t>RB-0096-002</t>
  </si>
  <si>
    <t>RB-0061-001</t>
  </si>
  <si>
    <t>RB-0061-002</t>
  </si>
  <si>
    <t>RB-0061-003</t>
  </si>
  <si>
    <t>RB-0061-004</t>
  </si>
  <si>
    <t>RB-0051-001</t>
  </si>
  <si>
    <t>RB-0043-001</t>
  </si>
  <si>
    <t>RB-0043-002</t>
  </si>
  <si>
    <t>RB-0100-001</t>
  </si>
  <si>
    <t>RB-0100-002</t>
  </si>
  <si>
    <t>RB-0100-003</t>
  </si>
  <si>
    <t>RB-0100-004</t>
  </si>
  <si>
    <t>RB-0100-005</t>
  </si>
  <si>
    <t>RB-0100-006</t>
  </si>
  <si>
    <t>RB-0007-001</t>
  </si>
  <si>
    <t>RB-0007-002</t>
  </si>
  <si>
    <t>RB-0022-001</t>
  </si>
  <si>
    <t>RB-0047-001</t>
  </si>
  <si>
    <t>RB-0047-002</t>
  </si>
  <si>
    <t>RB-0047-003</t>
  </si>
  <si>
    <t>RB-0047-004</t>
  </si>
  <si>
    <t>RB-0006-001</t>
  </si>
  <si>
    <t>RB-0006-002</t>
  </si>
  <si>
    <t>RB-0002-001</t>
  </si>
  <si>
    <t>RB-0002-002</t>
  </si>
  <si>
    <t>RB-0017-001</t>
  </si>
  <si>
    <t>RB-0017-002</t>
  </si>
  <si>
    <t>RB-0017-003</t>
  </si>
  <si>
    <t>RB-0058-001</t>
  </si>
  <si>
    <t>RB-0058-002</t>
  </si>
  <si>
    <t>RB-0034-001</t>
  </si>
  <si>
    <t>RB-0034-002</t>
  </si>
  <si>
    <t>RB-0034-003</t>
  </si>
  <si>
    <t>RB-0034-004</t>
  </si>
  <si>
    <t>RB-0034-005</t>
  </si>
  <si>
    <t>RB-0073-001</t>
  </si>
  <si>
    <t>RB-0073-002</t>
  </si>
  <si>
    <t>RB-0016-001</t>
  </si>
  <si>
    <t>RB-0016-002</t>
  </si>
  <si>
    <t>RB-0062-001</t>
  </si>
  <si>
    <t>RB-0062-002</t>
  </si>
  <si>
    <t>RB-0062-003</t>
  </si>
  <si>
    <t>RB-0062-004</t>
  </si>
  <si>
    <t>RB-0041-001</t>
  </si>
  <si>
    <t>RB-0041-002</t>
  </si>
  <si>
    <t>RB-0041-003</t>
  </si>
  <si>
    <t>RB-0041-004</t>
  </si>
  <si>
    <t>RB-0041-005</t>
  </si>
  <si>
    <t>RB-0064-001, RB-0064-002, RB-0064-003</t>
  </si>
  <si>
    <t>RB-0079-005</t>
  </si>
  <si>
    <t>RB-0072-004</t>
  </si>
  <si>
    <t>RB-0072-005</t>
  </si>
  <si>
    <t>RB-0060-005</t>
  </si>
  <si>
    <t>RB-0060-006</t>
  </si>
  <si>
    <t>RB-0097-006</t>
  </si>
  <si>
    <t>RB-0081-004</t>
  </si>
  <si>
    <t>RB-0012-002</t>
  </si>
  <si>
    <t>RB-0012-003</t>
  </si>
  <si>
    <t>RB-0012-004</t>
  </si>
  <si>
    <t>RB-0083-002</t>
  </si>
  <si>
    <t>RB-0083-003</t>
  </si>
  <si>
    <t>RB-0076-002</t>
  </si>
  <si>
    <t>RB-0076-003</t>
  </si>
  <si>
    <t>RB-0076-004</t>
  </si>
  <si>
    <t>RB-0076-005</t>
  </si>
  <si>
    <t>RB-0062-005</t>
  </si>
  <si>
    <t>RB-0077-003</t>
  </si>
  <si>
    <t>RB-0055-002</t>
  </si>
  <si>
    <t>RB-0055-003</t>
  </si>
  <si>
    <t>RB-0055-004</t>
  </si>
  <si>
    <t>RB-0055-005</t>
  </si>
  <si>
    <t>RB-0028-004</t>
  </si>
  <si>
    <t>RB-0050-002</t>
  </si>
  <si>
    <t>RB-0050-003</t>
  </si>
  <si>
    <t>RB-0050-004</t>
  </si>
  <si>
    <t>RB-0050-005</t>
  </si>
  <si>
    <t>RB-0075-002</t>
  </si>
  <si>
    <t>RB-0075-003</t>
  </si>
  <si>
    <t>RB-0004-002</t>
  </si>
  <si>
    <t>RB-0004-003</t>
  </si>
  <si>
    <t>RB-0029-002</t>
  </si>
  <si>
    <t>RB-0001-002</t>
  </si>
  <si>
    <t>RB-0001-003</t>
  </si>
  <si>
    <t>RB-0001-004</t>
  </si>
  <si>
    <t>RB-0001-005</t>
  </si>
  <si>
    <t>RB-0096-003</t>
  </si>
  <si>
    <t>RB-0096-004</t>
  </si>
  <si>
    <t>RB-0092-002</t>
  </si>
  <si>
    <t>RB-0036-004</t>
  </si>
  <si>
    <t>RB-0042-002</t>
  </si>
  <si>
    <t>RB-0064-004</t>
  </si>
  <si>
    <t>RB-0064-005</t>
  </si>
  <si>
    <t>RB-0053-002</t>
  </si>
  <si>
    <t>RB-0045-004</t>
  </si>
  <si>
    <t>RB-0057-002</t>
  </si>
  <si>
    <t>RB-0057-003</t>
  </si>
  <si>
    <t>RB-0057-004</t>
  </si>
  <si>
    <t>RB-0057-005</t>
  </si>
  <si>
    <t>RB-0039-002</t>
  </si>
  <si>
    <t>RB-0039-003</t>
  </si>
  <si>
    <t>RB-0059-003</t>
  </si>
  <si>
    <t>RB-0014-002</t>
  </si>
  <si>
    <t>RB-0014-003</t>
  </si>
  <si>
    <t>RB-0081-005</t>
  </si>
  <si>
    <t>RB-0081-006</t>
  </si>
  <si>
    <t>RB-0013-003</t>
  </si>
  <si>
    <t>RB-0078-002</t>
  </si>
  <si>
    <t>RB-0092-003</t>
  </si>
  <si>
    <t>RB-0092-004</t>
  </si>
  <si>
    <t>RB-0014-004</t>
  </si>
  <si>
    <t>RB-0094-002</t>
  </si>
  <si>
    <t>RB-0094-003</t>
  </si>
  <si>
    <t>RB-0094-004</t>
  </si>
  <si>
    <t>RB-0094-005</t>
  </si>
  <si>
    <t>RB-0043-003</t>
  </si>
  <si>
    <t>RB-0043-004</t>
  </si>
  <si>
    <t>RB-0043-005</t>
  </si>
  <si>
    <t>RB-0035-002</t>
  </si>
  <si>
    <t>RB-0035-003</t>
  </si>
  <si>
    <t>RB-0035-004</t>
  </si>
  <si>
    <t>RB-0035-005</t>
  </si>
  <si>
    <t>RB-0008-006</t>
  </si>
  <si>
    <t>RB-0052-005</t>
  </si>
  <si>
    <t>RB-0020-006</t>
  </si>
  <si>
    <t>RB-0032-004</t>
  </si>
  <si>
    <t>RB-0077-004</t>
  </si>
  <si>
    <t>RB-0077-005</t>
  </si>
  <si>
    <t>RB-0077-006</t>
  </si>
  <si>
    <t>RB-0074-004</t>
  </si>
  <si>
    <t>RB-0007-001, RB-0007-002</t>
  </si>
  <si>
    <t>JOB-055</t>
  </si>
  <si>
    <t>RB-0028-005</t>
  </si>
  <si>
    <t>RB-0028-006</t>
  </si>
  <si>
    <t>RB-0096-005</t>
  </si>
  <si>
    <t>RB-0096-006</t>
  </si>
  <si>
    <t>RB-0015-005</t>
  </si>
  <si>
    <t>RB-0015-006</t>
  </si>
  <si>
    <t>RB-0094-006</t>
  </si>
  <si>
    <t>RB-0055-006</t>
  </si>
  <si>
    <t>RB-0050-006</t>
  </si>
  <si>
    <t>RB-0076-006</t>
  </si>
  <si>
    <t>RB-0013-004</t>
  </si>
  <si>
    <t>RB-0013-005</t>
  </si>
  <si>
    <t>RB-0040-006</t>
  </si>
  <si>
    <t>RB-0030-006</t>
  </si>
  <si>
    <t>RB-0004-004</t>
  </si>
  <si>
    <t>RB-0004-005</t>
  </si>
  <si>
    <t>RB-0004-006</t>
  </si>
  <si>
    <t>RB-0045-005</t>
  </si>
  <si>
    <t>RB-0045-006</t>
  </si>
  <si>
    <t>RB-0099-004</t>
  </si>
  <si>
    <t>RB-0099-005</t>
  </si>
  <si>
    <t>RB-0099-006</t>
  </si>
  <si>
    <t>RB-0005-006</t>
  </si>
  <si>
    <t>RB-0095-006</t>
  </si>
  <si>
    <t>RB-0074-005</t>
  </si>
  <si>
    <t>RB-0093-006</t>
  </si>
  <si>
    <t>RB-0028-001, RB-0028-002, RB-0028-003, RB-0032-001, RB-0044-001</t>
  </si>
  <si>
    <t>RB-0028-004, RB-0028-005, RB-0028-006, RB-0032-002</t>
  </si>
  <si>
    <t>RB-0096-001, RB-0096-002, RB-0096-003, RB-0048-001</t>
  </si>
  <si>
    <t>RB-0096-004, RB-0096-005, RB-0096-006, RB-0048-002</t>
  </si>
  <si>
    <t>RB-0015-001, RB-0015-002, RB-0015-003, RB-0015-004, RB-0032-003</t>
  </si>
  <si>
    <t>RB-0015-005, RB-0015-006, RB-0006-001, RB-0006-002, RB-0032-004</t>
  </si>
  <si>
    <t>RB-0062-001, RB-0062-002</t>
  </si>
  <si>
    <t>RB-0062-003, RB-0062-004</t>
  </si>
  <si>
    <t>RB-0062-005, RB-0094-001, RB-0046-001</t>
  </si>
  <si>
    <t>RB-0094-002, RB-0094-003, RB-0046-002</t>
  </si>
  <si>
    <t>RB-0094-004, RB-0094-005, RB-0046-003</t>
  </si>
  <si>
    <t>RB-0094-006, RB-0060-001, RB-0075-001</t>
  </si>
  <si>
    <t>RB-0060-002, RB-0060-003, RB-0075-002</t>
  </si>
  <si>
    <t>RB-0060-004, RB-0060-005, RB-0075-003</t>
  </si>
  <si>
    <t>RB-0060-006, RB-0046-004</t>
  </si>
  <si>
    <t>RB-0052-001, RB-0052-002, RB-0052-003, RB-0037-001, RB-0037-002, RB-0037-003</t>
  </si>
  <si>
    <t>RB-0052-004, RB-0052-005, RB-0047-001</t>
  </si>
  <si>
    <t>RB-0047-002, RB-0047-003, RB-0047-004</t>
  </si>
  <si>
    <t>RB-0059-001, RB-0059-002, RB-0085-001, RB-0085-002, RB-0085-003</t>
  </si>
  <si>
    <t>RB-0059-003, RB-0087-001, RB-0087-002, RB-0087-003, RB-0087-004</t>
  </si>
  <si>
    <t>RB-0073-001, RB-0073-002, RB-0067-001</t>
  </si>
  <si>
    <t>RB-0067-002, RB-0067-003, RB-0097-001, RB-0055-001</t>
  </si>
  <si>
    <t>RB-0097-002, RB-0097-003, RB-0097-004, RB-0043-001</t>
  </si>
  <si>
    <t>RB-0097-005, RB-0097-006, RB-0043-002, RB-0043-003, RB-0043-004</t>
  </si>
  <si>
    <t>RB-0043-005, RB-0055-002, RB-0055-003, RB-0055-004, RB-0055-005, RB-0055-006</t>
  </si>
  <si>
    <t>RB-0064-004, RB-0064-005</t>
  </si>
  <si>
    <t>RB-0061-001, RB-0061-002, RB-0061-003</t>
  </si>
  <si>
    <t>RB-0061-004, RB-0072-001, RB-0072-002, RB-0036-001, RB-0036-002, RB-0036-003, RB-0036-004</t>
  </si>
  <si>
    <t>RB-0072-003, RB-0072-004, RB-0072-005, RB-0070-001</t>
  </si>
  <si>
    <t>RB-0050-001, RB-0050-002</t>
  </si>
  <si>
    <t>RB-0050-003, RB-0050-004</t>
  </si>
  <si>
    <t>RB-0050-005, RB-0050-006</t>
  </si>
  <si>
    <t>RB-0049-001, RB-0016-001, RB-0016-002</t>
  </si>
  <si>
    <t>RB-0069-001, RB-0069-002</t>
  </si>
  <si>
    <t>RB-0090-001, RB-0090-002, RB-0090-003, RB-0078-001</t>
  </si>
  <si>
    <t>RB-0090-004, RB-0090-005, RB-0079-001, RB-0065-001, RB-0034-001</t>
  </si>
  <si>
    <t>RB-0079-002, RB-0079-003, RB-0079-004, RB-0079-005, RB-0065-002, RB-0034-002, RB-0039-001</t>
  </si>
  <si>
    <t>RB-0034-003, RB-0034-004, RB-0034-005, RB-0039-002, RB-0039-003, RB-0078-002</t>
  </si>
  <si>
    <t>RB-0001-001, RB-0001-002, RB-0076-001</t>
  </si>
  <si>
    <t>RB-0001-003, RB-0001-004, RB-0076-002</t>
  </si>
  <si>
    <t>RB-0001-005, RB-0081-001, RB-0076-003</t>
  </si>
  <si>
    <t>RB-0081-002, RB-0081-003, RB-0076-004, RB-0023-001, RB-0013-001</t>
  </si>
  <si>
    <t>RB-0081-004, RB-0081-005, RB-0076-005, RB-0023-002, RB-0013-002</t>
  </si>
  <si>
    <t>RB-0081-006, RB-0086-001, RB-0076-006, RB-0023-003, RB-0013-003, RB-0013-004, RB-0013-005</t>
  </si>
  <si>
    <t>RB-0086-002, RB-0086-003, RB-0023-004</t>
  </si>
  <si>
    <t>RB-0098-001, RB-0098-002, RB-0020-001, RB-0020-002, RB-0020-003, RB-0020-004</t>
  </si>
  <si>
    <t>RB-0031-001, RB-0031-002, RB-0020-005, RB-0020-006, RB-0082-001, RB-0082-002, RB-0082-003</t>
  </si>
  <si>
    <t>RB-0031-003, RB-0031-004</t>
  </si>
  <si>
    <t>RB-0040-001, RB-0040-002</t>
  </si>
  <si>
    <t>RB-0040-003, RB-0040-004</t>
  </si>
  <si>
    <t>RB-0040-005, RB-0040-006</t>
  </si>
  <si>
    <t>RB-0030-001, RB-0030-002, RB-0030-003</t>
  </si>
  <si>
    <t>RB-0030-004, RB-0030-005, RB-0030-006</t>
  </si>
  <si>
    <t>RB-0066-001, RB-0066-002, RB-0066-003, RB-0100-001, RB-0056-002</t>
  </si>
  <si>
    <t>RB-0012-001, RB-0012-002, RB-0012-003, RB-0012-004, RB-0056-001</t>
  </si>
  <si>
    <t>RB-0026-001, RB-0026-002, RB-0026-003, RB-0100-002, RB-0100-003, RB-0056-003</t>
  </si>
  <si>
    <t>RB-0100-004, RB-0100-005, RB-0100-006</t>
  </si>
  <si>
    <t>RB-0004-001, RB-0004-002, RB-0091-001</t>
  </si>
  <si>
    <t>RB-0004-003, RB-0004-004</t>
  </si>
  <si>
    <t>RB-0004-005, RB-0004-006</t>
  </si>
  <si>
    <t>RB-0009-001, RB-0009-002</t>
  </si>
  <si>
    <t>RB-0009-003, RB-0002-001, RB-0029-001</t>
  </si>
  <si>
    <t>RB-0002-002, RB-0045-001, RB-0045-002</t>
  </si>
  <si>
    <t>RB-0045-003, RB-0045-004, RB-0045-005, RB-0029-002</t>
  </si>
  <si>
    <t>RB-0045-006, RB-0063-001, RB-0063-002</t>
  </si>
  <si>
    <t>RB-0063-003, RB-0063-004</t>
  </si>
  <si>
    <t>RB-0008-001, RB-0008-002, RB-0008-003, RB-0099-001</t>
  </si>
  <si>
    <t>RB-0008-004, RB-0008-005, RB-0008-006, RB-0099-002</t>
  </si>
  <si>
    <t>RB-0025-001, RB-0099-003, RB-0099-004, RB-0099-005, RB-0099-006, RB-0038-001</t>
  </si>
  <si>
    <t>RB-0003-001, RB-0003-002</t>
  </si>
  <si>
    <t>RB-0077-001, RB-0077-002</t>
  </si>
  <si>
    <t>RB-0077-003, RB-0077-004</t>
  </si>
  <si>
    <t>RB-0077-005, RB-0077-006</t>
  </si>
  <si>
    <t>RB-0071-001, RB-0071-002</t>
  </si>
  <si>
    <t>RB-0071-003, RB-0071-004</t>
  </si>
  <si>
    <t>RB-0071-005, RB-0068-001, RB-0018-001</t>
  </si>
  <si>
    <t>RB-0068-002, RB-0068-003</t>
  </si>
  <si>
    <t>RB-0068-004, RB-0035-001</t>
  </si>
  <si>
    <t>RB-0035-002, RB-0035-003</t>
  </si>
  <si>
    <t>RB-0035-004, RB-0035-005</t>
  </si>
  <si>
    <t>RB-0089-001, RB-0024-001, RB-0024-002, RB-0024-003, RB-0095-002, RB-0095-003</t>
  </si>
  <si>
    <t>RB-0024-004, RB-0024-005, RB-0024-006, RB-0005-001, RB-0005-002, RB-0017-001</t>
  </si>
  <si>
    <t>RB-0005-003, RB-0005-004, RB-0005-005, RB-0005-006, RB-0021-001, RB-0021-002, RB-0021-003, RB-0017-002, RB-0017-003, RB-0095-001</t>
  </si>
  <si>
    <t>RB-0095-004, RB-0095-005, RB-0095-006</t>
  </si>
  <si>
    <t>RB-0053-001, RB-0053-002</t>
  </si>
  <si>
    <t>RB-0027-001, RB-0010-001, RB-0010-002</t>
  </si>
  <si>
    <t>RB-0010-003, RB-0010-004, RB-0022-001, RB-0058-001</t>
  </si>
  <si>
    <t>RB-0058-002, RB-0080-001, RB-0041-001, RB-0041-002, RB-0041-003, RB-0041-004, RB-0041-005</t>
  </si>
  <si>
    <t>RB-0083-001, RB-0083-002, RB-0083-003, RB-0057-001</t>
  </si>
  <si>
    <t>RB-0019-001, RB-0057-002, RB-0057-003, RB-0057-004, RB-0057-005, RB-0088-001, RB-0074-001, RB-0074-002</t>
  </si>
  <si>
    <t>RB-0074-003, RB-0074-004, RB-0074-005</t>
  </si>
  <si>
    <t>RB-0014-001, RB-0014-002</t>
  </si>
  <si>
    <t>RB-0014-003, RB-0014-004</t>
  </si>
  <si>
    <t>RB-0042-001, RB-0042-002</t>
  </si>
  <si>
    <t>RB-0093-001, RB-0093-002, RB-0092-001</t>
  </si>
  <si>
    <t>RB-0093-003, RB-0093-004, RB-0092-002</t>
  </si>
  <si>
    <t>RB-0093-005, RB-0093-006, RB-0092-003</t>
  </si>
  <si>
    <t>RB-0033-001, RB-0033-002, RB-0054-001, RB-0011-001</t>
  </si>
  <si>
    <t>RB-0054-002, RB-0054-003, RB-0054-004, RB-0054-005, RB-0051-001</t>
  </si>
  <si>
    <t>RB-0054-006, RB-0092-004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</si>
</sst>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i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/>
    <xf numFmtId="0" fontId="2" fillId="0" borderId="0" xfId="0" applyFont="1"/>
  </cellXfs>
  <cellStyles count="1">
    <cellStyle name="Normal" xfId="0" builtinId="0"/>
  </cellStyles>
  <dxfs count="5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0</xdr:colOff>
      <xdr:row>0</xdr:row>
      <xdr:rowOff>25400</xdr:rowOff>
    </xdr:from>
    <xdr:to>
      <xdr:col>11</xdr:col>
      <xdr:colOff>304800</xdr:colOff>
      <xdr:row>2</xdr:row>
      <xdr:rowOff>0</xdr:rowOff>
    </xdr:to>
    <xdr:sp macro="PrintCutlist" textlink="">
      <xdr:nvSpPr>
        <xdr:cNvPr id="2" name="btnPrintCutlist">
          <a:extLst>
            <a:ext uri="{FF2B5EF4-FFF2-40B4-BE49-F238E27FC236}">
              <a16:creationId xmlns:a16="http://schemas.microsoft.com/office/drawing/2014/main" id="{EB620FE8-6317-2A09-2FEE-6279CFDA3507}"/>
            </a:ext>
          </a:extLst>
        </xdr:cNvPr>
        <xdr:cNvSpPr/>
      </xdr:nvSpPr>
      <xdr:spPr>
        <a:xfrm>
          <a:off x="6800850" y="25400"/>
          <a:ext cx="1524000" cy="355600"/>
        </a:xfrm>
        <a:prstGeom prst="roundRect">
          <a:avLst/>
        </a:prstGeom>
        <a:solidFill>
          <a:srgbClr val="E1EBF5"/>
        </a:solidFill>
        <a:ln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/>
            <a:t>Print Cutlist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3B6D4B0-5967-4395-A44B-6F64989986CA}" name="tblParts" displayName="tblParts" ref="A110:L210" totalsRowShown="0" headerRowDxfId="4">
  <autoFilter ref="A110:L210" xr:uid="{C3B6D4B0-5967-4395-A44B-6F64989986CA}"/>
  <tableColumns count="12">
    <tableColumn id="1" xr3:uid="{4D039509-22B8-48FC-920F-0C1D746D13C1}" name="Job"/>
    <tableColumn id="2" xr3:uid="{7CCFF298-51C9-4D00-A356-528E43BDAD1A}" name="PartNo"/>
    <tableColumn id="3" xr3:uid="{DA9B8B1B-0A7D-4A03-9250-7D35B7ACF02E}" name="Material"/>
    <tableColumn id="4" xr3:uid="{ED2ABC81-080F-4C4F-BF75-B5945D16ADAC}" name="Diameter_in"/>
    <tableColumn id="5" xr3:uid="{A230145E-DB36-4B65-969A-7C842B9F1A39}" name="FinishLen_in"/>
    <tableColumn id="6" xr3:uid="{80403121-A137-4DBD-AEAE-47E8D9FCF358}" name="ExtraStock_in"/>
    <tableColumn id="7" xr3:uid="{95A1D6E8-37B0-45D4-9C44-3DE90B5DAFF9}" name="Qty"/>
    <tableColumn id="8" xr3:uid="{0DB6AB52-E893-4089-9EB2-CCBF3B31D53D}" name="Kerf_in"/>
    <tableColumn id="9" xr3:uid="{D380D86E-ACEB-4898-BC75-DFC2AF21E4F2}" name="FaceAllow_in"/>
    <tableColumn id="10" xr3:uid="{1F4ECC61-700E-4EDF-A5DE-3DCA8B764B4B}" name="RequiredCutLen_in">
      <calculatedColumnFormula>IFERROR(N(tblParts[[#This Row],[FinishLen_in]])+N(tblParts[[#This Row],[ExtraStock_in]])+IF(OR(tblParts[[#This Row],[Kerf_in]]="",ISBLANK(tblParts[[#This Row],[Kerf_in]])),DefaultKerf_in,N(tblParts[[#This Row],[Kerf_in]]))+IF(OR(tblParts[[#This Row],[FaceAllow_in]]="",ISBLANK(tblParts[[#This Row],[FaceAllow_in]])),DefaultFaceAllow_in,N(tblParts[[#This Row],[FaceAllow_in]])),0)</calculatedColumnFormula>
    </tableColumn>
    <tableColumn id="11" xr3:uid="{13F553DD-02CC-4982-9734-BCD15657646D}" name="TotalLenReq_in">
      <calculatedColumnFormula>IFERROR(N(tblParts[[#This Row],[Qty]])*N(tblParts[[#This Row],[RequiredCutLen_in]]),0)</calculatedColumnFormula>
    </tableColumn>
    <tableColumn id="12" xr3:uid="{20613F39-EB3A-40B5-8AE4-A062AEB6A4BB}" name="StockKey">
      <calculatedColumnFormula>TRIM(tblParts[[#This Row],[Material]])&amp;"|"&amp;TEXT(tblParts[[#This Row],[Diameter_in]],"0.000")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BCBE918-AE52-4F76-B762-FB14573D6B0B}" name="tblMat" displayName="tblMat" ref="A1:I21" totalsRowShown="0" headerRowDxfId="3">
  <autoFilter ref="A1:I21" xr:uid="{0BCBE918-AE52-4F76-B762-FB14573D6B0B}"/>
  <tableColumns count="9">
    <tableColumn id="1" xr3:uid="{D7CB2F23-B099-4F08-A45C-0D3D05D99884}" name="StockKey"/>
    <tableColumn id="2" xr3:uid="{5D072DEC-BF0E-40D9-887C-48B955D8AD58}" name="Material"/>
    <tableColumn id="3" xr3:uid="{F26E5E5A-2844-45F5-A738-2588B5A0E550}" name="Diameter_in"/>
    <tableColumn id="4" xr3:uid="{28512CA4-9E9B-42C5-BBC1-7A318FE689DA}" name="TotalReq_in"/>
    <tableColumn id="5" xr3:uid="{34B2C380-8AF5-418A-B693-E0250E12D3D9}" name="TotalReq_ft"/>
    <tableColumn id="6" xr3:uid="{1E8995AF-B730-4B18-9D3F-F6107C5613BC}" name="BuyLen1_in"/>
    <tableColumn id="7" xr3:uid="{D7A2C575-D3E7-4ED0-B9F9-A0B1A003F1AF}" name="BuyLen2_in"/>
    <tableColumn id="8" xr3:uid="{F8D53BB7-9E15-48A6-B1B5-B4B7CF9BDF08}" name="PreferBuyLen1"/>
    <tableColumn id="9" xr3:uid="{393A56C6-C54A-4750-BD04-6EFEDDB151E5}" name="Notes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FCA1B5A-D96F-4053-9BCD-0130BA485A7D}" name="tblPurchase" displayName="tblPurchase" ref="A1:M21" totalsRowShown="0" headerRowDxfId="2">
  <autoFilter ref="A1:M21" xr:uid="{0FCA1B5A-D96F-4053-9BCD-0130BA485A7D}"/>
  <tableColumns count="13">
    <tableColumn id="1" xr3:uid="{E763B015-00AD-43A8-936E-95B2BDE80FD5}" name="StockKey"/>
    <tableColumn id="2" xr3:uid="{F197863D-87A5-498C-A071-A0A64BD011C9}" name="BuyLen1_in"/>
    <tableColumn id="3" xr3:uid="{D33A43EF-F85E-43BA-AC43-724C06A7D1B1}" name="BuyLen2_in"/>
    <tableColumn id="4" xr3:uid="{45AD4AAC-8058-4296-8BC8-1F3B7CEBD4B5}" name="BarsNeeded_BASIC"/>
    <tableColumn id="5" xr3:uid="{8C88B49B-24EF-4FD7-8162-AD78069CAAE9}" name="BarsNeeded_FINAL"/>
    <tableColumn id="6" xr3:uid="{CED3658F-CFE1-4FEE-9B11-D7DBC67E3F50}" name="PurchasedLen_FINAL"/>
    <tableColumn id="7" xr3:uid="{BE3023A1-E70B-4356-9016-8763DAF36EB6}" name="TotalReq_in"/>
    <tableColumn id="8" xr3:uid="{9B420C41-6896-4F8A-A42E-8246B0515F09}" name="TotalDrop_FINAL"/>
    <tableColumn id="9" xr3:uid="{30F0CF9E-D286-4D7C-9826-C7AAF72FCA51}" name="Waste%_FINAL"/>
    <tableColumn id="10" xr3:uid="{E2E4A610-CBA3-4B23-955C-C89635C40592}" name="ScrapLen_FINAL"/>
    <tableColumn id="11" xr3:uid="{057C8898-569A-4B01-B653-759FACD728EB}" name="RemnantLen_FINAL"/>
    <tableColumn id="12" xr3:uid="{3F244D05-A64F-4814-9F01-B611ABA8E7A6}" name="Scrap%_FINAL"/>
    <tableColumn id="13" xr3:uid="{551B4B17-3509-4FD2-903B-0D0E4657BE41}" name="Remnant%_FINAL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82F59A5-E3CE-4343-8093-C80342A2B4B3}" name="tblNestFinal" displayName="tblNestFinal" ref="A1:J369" totalsRowShown="0" headerRowDxfId="1">
  <autoFilter ref="A1:J369" xr:uid="{B82F59A5-E3CE-4343-8093-C80342A2B4B3}"/>
  <tableColumns count="10">
    <tableColumn id="1" xr3:uid="{3B8494A6-3616-4289-A2B5-E4FE7BE98870}" name="StockKey"/>
    <tableColumn id="2" xr3:uid="{A2D001FE-41D6-4451-BBB8-8D0747AD889A}" name="BuyLen_in"/>
    <tableColumn id="3" xr3:uid="{647CCA11-48B6-4904-BF44-6C8E97871A10}" name="PieceID"/>
    <tableColumn id="4" xr3:uid="{9DCD613F-A794-40F6-894A-27DE2696BFE8}" name="CutLen_in"/>
    <tableColumn id="5" xr3:uid="{7E8FEA87-8755-49A7-AB00-8D6BA835E02B}" name="Bar#"/>
    <tableColumn id="6" xr3:uid="{BA5E5E55-0F0F-4671-BA31-B0349242C4BF}" name="RemainingBefore_in"/>
    <tableColumn id="7" xr3:uid="{98AB3C44-A92A-473B-9635-99C2170C27AA}" name="RemainingAfter_in"/>
    <tableColumn id="8" xr3:uid="{3EA575E2-261B-4E09-AC1E-253BDA469772}" name="IsBarEnd"/>
    <tableColumn id="9" xr3:uid="{A93AC195-E0D0-420A-B6E4-1D8A6B7FBF86}" name="LeftoverAtEnd_in"/>
    <tableColumn id="10" xr3:uid="{A80FB439-F3AD-4B37-B298-FD18073BE941}" name="RemnantStatus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ACC90E4D-C42E-4903-AEC1-53DFE6748C78}" name="tblCutlist" displayName="tblCutlist" ref="A1:H104" totalsRowShown="0" headerRowDxfId="0">
  <autoFilter ref="A1:H104" xr:uid="{ACC90E4D-C42E-4903-AEC1-53DFE6748C78}"/>
  <tableColumns count="8">
    <tableColumn id="1" xr3:uid="{FCC19812-A285-4BB0-B350-ABA440DFF648}" name="StockKey"/>
    <tableColumn id="2" xr3:uid="{A3C1EEDC-C47C-42C5-B9DC-D77B6042FAE3}" name="Bar#"/>
    <tableColumn id="3" xr3:uid="{6F91E537-2CB4-4D1B-847A-18456D222503}" name="BuyLen_in"/>
    <tableColumn id="4" xr3:uid="{CE1475E9-BB83-429B-8F44-3B5D87BE352F}" name="Pieces"/>
    <tableColumn id="5" xr3:uid="{EDF0CF85-D8AB-414A-9627-C65694C81EE5}" name="UsedLen_in"/>
    <tableColumn id="6" xr3:uid="{33975DF3-C6F7-454C-8C17-86A4C1A01A0F}" name="Leftover_in"/>
    <tableColumn id="7" xr3:uid="{0746D99A-140F-4E89-85B7-E6C6ECEBC228}" name="RemnantStatus"/>
    <tableColumn id="8" xr3:uid="{B8D83E48-CA83-4629-961A-5C7D5E589F02}" name="Util%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6F88E3-A5C0-4865-90AC-E23D4089CC2E}">
  <sheetPr codeName="Sheet1"/>
  <dimension ref="A1:L210"/>
  <sheetViews>
    <sheetView tabSelected="1" workbookViewId="0"/>
  </sheetViews>
  <sheetFormatPr defaultRowHeight="15" x14ac:dyDescent="0.25"/>
  <cols>
    <col min="1" max="1" width="38.140625" bestFit="1" customWidth="1"/>
    <col min="2" max="2" width="9.42578125" bestFit="1" customWidth="1"/>
    <col min="3" max="3" width="10.5703125" bestFit="1" customWidth="1"/>
    <col min="4" max="4" width="14.28515625" bestFit="1" customWidth="1"/>
    <col min="5" max="5" width="14.5703125" bestFit="1" customWidth="1"/>
    <col min="6" max="6" width="15.5703125" bestFit="1" customWidth="1"/>
    <col min="7" max="7" width="10.5703125" bestFit="1" customWidth="1"/>
    <col min="8" max="8" width="9.5703125" bestFit="1" customWidth="1"/>
    <col min="9" max="9" width="19.28515625" bestFit="1" customWidth="1"/>
    <col min="10" max="10" width="21" bestFit="1" customWidth="1"/>
    <col min="11" max="11" width="17.28515625" bestFit="1" customWidth="1"/>
    <col min="12" max="12" width="11.5703125" bestFit="1" customWidth="1"/>
  </cols>
  <sheetData>
    <row r="1" spans="1:10" s="1" customFormat="1" x14ac:dyDescent="0.25">
      <c r="A1" s="1" t="s">
        <v>0</v>
      </c>
    </row>
    <row r="2" spans="1:10" x14ac:dyDescent="0.25">
      <c r="G2" t="s">
        <v>2</v>
      </c>
      <c r="I2" t="s">
        <v>17</v>
      </c>
      <c r="J2">
        <v>0.125</v>
      </c>
    </row>
    <row r="3" spans="1:10" x14ac:dyDescent="0.25">
      <c r="A3" s="2" t="s">
        <v>1</v>
      </c>
      <c r="G3">
        <v>1018</v>
      </c>
      <c r="I3" t="s">
        <v>18</v>
      </c>
      <c r="J3">
        <v>0.125</v>
      </c>
    </row>
    <row r="4" spans="1:10" x14ac:dyDescent="0.25">
      <c r="G4" t="s">
        <v>3</v>
      </c>
      <c r="I4" t="s">
        <v>19</v>
      </c>
      <c r="J4">
        <v>12</v>
      </c>
    </row>
    <row r="5" spans="1:10" x14ac:dyDescent="0.25">
      <c r="G5" t="s">
        <v>4</v>
      </c>
      <c r="I5" t="s">
        <v>20</v>
      </c>
      <c r="J5">
        <v>500</v>
      </c>
    </row>
    <row r="6" spans="1:10" x14ac:dyDescent="0.25">
      <c r="G6">
        <v>304</v>
      </c>
      <c r="I6" t="s">
        <v>21</v>
      </c>
      <c r="J6">
        <v>20000</v>
      </c>
    </row>
    <row r="7" spans="1:10" x14ac:dyDescent="0.25">
      <c r="G7">
        <v>316</v>
      </c>
      <c r="I7" t="s">
        <v>22</v>
      </c>
      <c r="J7">
        <v>46093.880439814813</v>
      </c>
    </row>
    <row r="8" spans="1:10" x14ac:dyDescent="0.25">
      <c r="G8">
        <v>4140</v>
      </c>
      <c r="I8" t="s">
        <v>23</v>
      </c>
      <c r="J8">
        <v>46093.880439814813</v>
      </c>
    </row>
    <row r="9" spans="1:10" x14ac:dyDescent="0.25">
      <c r="G9">
        <v>4340</v>
      </c>
    </row>
    <row r="10" spans="1:10" x14ac:dyDescent="0.25">
      <c r="G10">
        <v>8620</v>
      </c>
    </row>
    <row r="11" spans="1:10" x14ac:dyDescent="0.25">
      <c r="G11" t="s">
        <v>8</v>
      </c>
    </row>
    <row r="12" spans="1:10" x14ac:dyDescent="0.25">
      <c r="G12" t="s">
        <v>16</v>
      </c>
    </row>
    <row r="13" spans="1:10" x14ac:dyDescent="0.25">
      <c r="G13" t="s">
        <v>10</v>
      </c>
    </row>
    <row r="14" spans="1:10" x14ac:dyDescent="0.25">
      <c r="G14" t="s">
        <v>11</v>
      </c>
    </row>
    <row r="15" spans="1:10" x14ac:dyDescent="0.25">
      <c r="G15" t="s">
        <v>9</v>
      </c>
    </row>
    <row r="16" spans="1:10" x14ac:dyDescent="0.25">
      <c r="G16" t="s">
        <v>6</v>
      </c>
    </row>
    <row r="17" spans="7:7" x14ac:dyDescent="0.25">
      <c r="G17" t="s">
        <v>7</v>
      </c>
    </row>
    <row r="18" spans="7:7" x14ac:dyDescent="0.25">
      <c r="G18" t="s">
        <v>14</v>
      </c>
    </row>
    <row r="19" spans="7:7" x14ac:dyDescent="0.25">
      <c r="G19" t="s">
        <v>13</v>
      </c>
    </row>
    <row r="20" spans="7:7" x14ac:dyDescent="0.25">
      <c r="G20" t="s">
        <v>5</v>
      </c>
    </row>
    <row r="21" spans="7:7" x14ac:dyDescent="0.25">
      <c r="G21" t="s">
        <v>12</v>
      </c>
    </row>
    <row r="22" spans="7:7" x14ac:dyDescent="0.25">
      <c r="G22" t="s">
        <v>15</v>
      </c>
    </row>
    <row r="110" spans="1:12" x14ac:dyDescent="0.25">
      <c r="A110" s="1" t="s">
        <v>24</v>
      </c>
      <c r="B110" s="1" t="s">
        <v>25</v>
      </c>
      <c r="C110" s="1" t="s">
        <v>26</v>
      </c>
      <c r="D110" s="1" t="s">
        <v>27</v>
      </c>
      <c r="E110" s="1" t="s">
        <v>28</v>
      </c>
      <c r="F110" s="1" t="s">
        <v>29</v>
      </c>
      <c r="G110" s="1" t="s">
        <v>30</v>
      </c>
      <c r="H110" s="1" t="s">
        <v>31</v>
      </c>
      <c r="I110" s="1" t="s">
        <v>32</v>
      </c>
      <c r="J110" s="1" t="s">
        <v>33</v>
      </c>
      <c r="K110" s="1" t="s">
        <v>34</v>
      </c>
      <c r="L110" s="1" t="s">
        <v>35</v>
      </c>
    </row>
    <row r="111" spans="1:12" x14ac:dyDescent="0.25">
      <c r="A111" t="s">
        <v>530</v>
      </c>
      <c r="B111" t="s">
        <v>64</v>
      </c>
      <c r="C111" t="s">
        <v>16</v>
      </c>
      <c r="D111">
        <v>4</v>
      </c>
      <c r="E111">
        <v>40.094000000000001</v>
      </c>
      <c r="F111">
        <v>0.70199999999999996</v>
      </c>
      <c r="G111">
        <v>5</v>
      </c>
      <c r="H111">
        <v>0.11799999999999999</v>
      </c>
      <c r="J111">
        <f>IFERROR(N(tblParts[[#This Row],[FinishLen_in]])+N(tblParts[[#This Row],[ExtraStock_in]])+IF(OR(tblParts[[#This Row],[Kerf_in]]="",ISBLANK(tblParts[[#This Row],[Kerf_in]])),DefaultKerf_in,N(tblParts[[#This Row],[Kerf_in]]))+IF(OR(tblParts[[#This Row],[FaceAllow_in]]="",ISBLANK(tblParts[[#This Row],[FaceAllow_in]])),DefaultFaceAllow_in,N(tblParts[[#This Row],[FaceAllow_in]])),0)</f>
        <v>41.039000000000001</v>
      </c>
      <c r="K111">
        <f>IFERROR(N(tblParts[[#This Row],[Qty]])*N(tblParts[[#This Row],[RequiredCutLen_in]]),0)</f>
        <v>205.19499999999999</v>
      </c>
      <c r="L111" t="str">
        <f>TRIM(tblParts[[#This Row],[Material]])&amp;"|"&amp;TEXT(tblParts[[#This Row],[Diameter_in]],"0.000")</f>
        <v>Acetal|4.000</v>
      </c>
    </row>
    <row r="112" spans="1:12" x14ac:dyDescent="0.25">
      <c r="A112" t="s">
        <v>530</v>
      </c>
      <c r="B112" t="s">
        <v>65</v>
      </c>
      <c r="C112" t="s">
        <v>6</v>
      </c>
      <c r="D112">
        <v>1.625</v>
      </c>
      <c r="E112">
        <v>36.601999999999997</v>
      </c>
      <c r="F112">
        <v>0.70599999999999996</v>
      </c>
      <c r="G112">
        <v>2</v>
      </c>
      <c r="H112">
        <v>8.7999999999999995E-2</v>
      </c>
      <c r="J112">
        <f>IFERROR(N(tblParts[[#This Row],[FinishLen_in]])+N(tblParts[[#This Row],[ExtraStock_in]])+IF(OR(tblParts[[#This Row],[Kerf_in]]="",ISBLANK(tblParts[[#This Row],[Kerf_in]])),DefaultKerf_in,N(tblParts[[#This Row],[Kerf_in]]))+IF(OR(tblParts[[#This Row],[FaceAllow_in]]="",ISBLANK(tblParts[[#This Row],[FaceAllow_in]])),DefaultFaceAllow_in,N(tblParts[[#This Row],[FaceAllow_in]])),0)</f>
        <v>37.521000000000001</v>
      </c>
      <c r="K112">
        <f>IFERROR(N(tblParts[[#This Row],[Qty]])*N(tblParts[[#This Row],[RequiredCutLen_in]]),0)</f>
        <v>75.042000000000002</v>
      </c>
      <c r="L112" t="str">
        <f>TRIM(tblParts[[#This Row],[Material]])&amp;"|"&amp;TEXT(tblParts[[#This Row],[Diameter_in]],"0.000")</f>
        <v>D2|1.625</v>
      </c>
    </row>
    <row r="113" spans="1:12" x14ac:dyDescent="0.25">
      <c r="A113" t="s">
        <v>530</v>
      </c>
      <c r="B113" t="s">
        <v>66</v>
      </c>
      <c r="C113" t="s">
        <v>7</v>
      </c>
      <c r="D113">
        <v>1.75</v>
      </c>
      <c r="E113">
        <v>8.3439999999999994</v>
      </c>
      <c r="F113">
        <v>0.97299999999999998</v>
      </c>
      <c r="G113">
        <v>2</v>
      </c>
      <c r="H113">
        <v>6.4000000000000001E-2</v>
      </c>
      <c r="I113">
        <v>0.23200000000000001</v>
      </c>
      <c r="J113">
        <f>IFERROR(N(tblParts[[#This Row],[FinishLen_in]])+N(tblParts[[#This Row],[ExtraStock_in]])+IF(OR(tblParts[[#This Row],[Kerf_in]]="",ISBLANK(tblParts[[#This Row],[Kerf_in]])),DefaultKerf_in,N(tblParts[[#This Row],[Kerf_in]]))+IF(OR(tblParts[[#This Row],[FaceAllow_in]]="",ISBLANK(tblParts[[#This Row],[FaceAllow_in]])),DefaultFaceAllow_in,N(tblParts[[#This Row],[FaceAllow_in]])),0)</f>
        <v>9.6129999999999995</v>
      </c>
      <c r="K113">
        <f>IFERROR(N(tblParts[[#This Row],[Qty]])*N(tblParts[[#This Row],[RequiredCutLen_in]]),0)</f>
        <v>19.225999999999999</v>
      </c>
      <c r="L113" t="str">
        <f>TRIM(tblParts[[#This Row],[Material]])&amp;"|"&amp;TEXT(tblParts[[#This Row],[Diameter_in]],"0.000")</f>
        <v>H13|1.750</v>
      </c>
    </row>
    <row r="114" spans="1:12" x14ac:dyDescent="0.25">
      <c r="A114" t="s">
        <v>530</v>
      </c>
      <c r="B114" t="s">
        <v>67</v>
      </c>
      <c r="C114" t="s">
        <v>6</v>
      </c>
      <c r="D114">
        <v>1.625</v>
      </c>
      <c r="E114">
        <v>45.305999999999997</v>
      </c>
      <c r="F114">
        <v>0.69399999999999995</v>
      </c>
      <c r="G114">
        <v>6</v>
      </c>
      <c r="H114">
        <v>0.115</v>
      </c>
      <c r="J114">
        <f>IFERROR(N(tblParts[[#This Row],[FinishLen_in]])+N(tblParts[[#This Row],[ExtraStock_in]])+IF(OR(tblParts[[#This Row],[Kerf_in]]="",ISBLANK(tblParts[[#This Row],[Kerf_in]])),DefaultKerf_in,N(tblParts[[#This Row],[Kerf_in]]))+IF(OR(tblParts[[#This Row],[FaceAllow_in]]="",ISBLANK(tblParts[[#This Row],[FaceAllow_in]])),DefaultFaceAllow_in,N(tblParts[[#This Row],[FaceAllow_in]])),0)</f>
        <v>46.24</v>
      </c>
      <c r="K114">
        <f>IFERROR(N(tblParts[[#This Row],[Qty]])*N(tblParts[[#This Row],[RequiredCutLen_in]]),0)</f>
        <v>277.44</v>
      </c>
      <c r="L114" t="str">
        <f>TRIM(tblParts[[#This Row],[Material]])&amp;"|"&amp;TEXT(tblParts[[#This Row],[Diameter_in]],"0.000")</f>
        <v>D2|1.625</v>
      </c>
    </row>
    <row r="115" spans="1:12" x14ac:dyDescent="0.25">
      <c r="A115" t="s">
        <v>530</v>
      </c>
      <c r="B115" t="s">
        <v>68</v>
      </c>
      <c r="C115" t="s">
        <v>13</v>
      </c>
      <c r="D115">
        <v>2.75</v>
      </c>
      <c r="E115">
        <v>15.378</v>
      </c>
      <c r="F115">
        <v>0.83899999999999997</v>
      </c>
      <c r="G115">
        <v>6</v>
      </c>
      <c r="H115">
        <v>9.2999999999999999E-2</v>
      </c>
      <c r="I115">
        <v>7.3999999999999996E-2</v>
      </c>
      <c r="J115">
        <f>IFERROR(N(tblParts[[#This Row],[FinishLen_in]])+N(tblParts[[#This Row],[ExtraStock_in]])+IF(OR(tblParts[[#This Row],[Kerf_in]]="",ISBLANK(tblParts[[#This Row],[Kerf_in]])),DefaultKerf_in,N(tblParts[[#This Row],[Kerf_in]]))+IF(OR(tblParts[[#This Row],[FaceAllow_in]]="",ISBLANK(tblParts[[#This Row],[FaceAllow_in]])),DefaultFaceAllow_in,N(tblParts[[#This Row],[FaceAllow_in]])),0)</f>
        <v>16.384</v>
      </c>
      <c r="K115">
        <f>IFERROR(N(tblParts[[#This Row],[Qty]])*N(tblParts[[#This Row],[RequiredCutLen_in]]),0)</f>
        <v>98.304000000000002</v>
      </c>
      <c r="L115" t="str">
        <f>TRIM(tblParts[[#This Row],[Material]])&amp;"|"&amp;TEXT(tblParts[[#This Row],[Diameter_in]],"0.000")</f>
        <v>Monel400|2.750</v>
      </c>
    </row>
    <row r="116" spans="1:12" x14ac:dyDescent="0.25">
      <c r="A116" t="s">
        <v>530</v>
      </c>
      <c r="B116" t="s">
        <v>69</v>
      </c>
      <c r="C116">
        <v>1018</v>
      </c>
      <c r="D116">
        <v>0.5</v>
      </c>
      <c r="E116">
        <v>27.954000000000001</v>
      </c>
      <c r="F116">
        <v>0.20899999999999999</v>
      </c>
      <c r="G116">
        <v>2</v>
      </c>
      <c r="H116">
        <v>7.3999999999999996E-2</v>
      </c>
      <c r="I116">
        <v>0.20499999999999999</v>
      </c>
      <c r="J116">
        <f>IFERROR(N(tblParts[[#This Row],[FinishLen_in]])+N(tblParts[[#This Row],[ExtraStock_in]])+IF(OR(tblParts[[#This Row],[Kerf_in]]="",ISBLANK(tblParts[[#This Row],[Kerf_in]])),DefaultKerf_in,N(tblParts[[#This Row],[Kerf_in]]))+IF(OR(tblParts[[#This Row],[FaceAllow_in]]="",ISBLANK(tblParts[[#This Row],[FaceAllow_in]])),DefaultFaceAllow_in,N(tblParts[[#This Row],[FaceAllow_in]])),0)</f>
        <v>28.442</v>
      </c>
      <c r="K116">
        <f>IFERROR(N(tblParts[[#This Row],[Qty]])*N(tblParts[[#This Row],[RequiredCutLen_in]]),0)</f>
        <v>56.884</v>
      </c>
      <c r="L116" t="str">
        <f>TRIM(tblParts[[#This Row],[Material]])&amp;"|"&amp;TEXT(tblParts[[#This Row],[Diameter_in]],"0.000")</f>
        <v>1018|0.500</v>
      </c>
    </row>
    <row r="117" spans="1:12" x14ac:dyDescent="0.25">
      <c r="A117" t="s">
        <v>530</v>
      </c>
      <c r="B117" t="s">
        <v>70</v>
      </c>
      <c r="C117">
        <v>4340</v>
      </c>
      <c r="D117">
        <v>0.875</v>
      </c>
      <c r="E117">
        <v>24.280999999999999</v>
      </c>
      <c r="F117">
        <v>0.83899999999999997</v>
      </c>
      <c r="G117">
        <v>2</v>
      </c>
      <c r="I117">
        <v>0.127</v>
      </c>
      <c r="J117">
        <f>IFERROR(N(tblParts[[#This Row],[FinishLen_in]])+N(tblParts[[#This Row],[ExtraStock_in]])+IF(OR(tblParts[[#This Row],[Kerf_in]]="",ISBLANK(tblParts[[#This Row],[Kerf_in]])),DefaultKerf_in,N(tblParts[[#This Row],[Kerf_in]]))+IF(OR(tblParts[[#This Row],[FaceAllow_in]]="",ISBLANK(tblParts[[#This Row],[FaceAllow_in]])),DefaultFaceAllow_in,N(tblParts[[#This Row],[FaceAllow_in]])),0)</f>
        <v>25.371999999999996</v>
      </c>
      <c r="K117">
        <f>IFERROR(N(tblParts[[#This Row],[Qty]])*N(tblParts[[#This Row],[RequiredCutLen_in]]),0)</f>
        <v>50.743999999999993</v>
      </c>
      <c r="L117" t="str">
        <f>TRIM(tblParts[[#This Row],[Material]])&amp;"|"&amp;TEXT(tblParts[[#This Row],[Diameter_in]],"0.000")</f>
        <v>4340|0.875</v>
      </c>
    </row>
    <row r="118" spans="1:12" x14ac:dyDescent="0.25">
      <c r="A118" t="s">
        <v>530</v>
      </c>
      <c r="B118" t="s">
        <v>71</v>
      </c>
      <c r="C118" t="s">
        <v>7</v>
      </c>
      <c r="D118">
        <v>1.75</v>
      </c>
      <c r="E118">
        <v>38.743000000000002</v>
      </c>
      <c r="F118">
        <v>0.25600000000000001</v>
      </c>
      <c r="G118">
        <v>6</v>
      </c>
      <c r="I118">
        <v>0.186</v>
      </c>
      <c r="J118">
        <f>IFERROR(N(tblParts[[#This Row],[FinishLen_in]])+N(tblParts[[#This Row],[ExtraStock_in]])+IF(OR(tblParts[[#This Row],[Kerf_in]]="",ISBLANK(tblParts[[#This Row],[Kerf_in]])),DefaultKerf_in,N(tblParts[[#This Row],[Kerf_in]]))+IF(OR(tblParts[[#This Row],[FaceAllow_in]]="",ISBLANK(tblParts[[#This Row],[FaceAllow_in]])),DefaultFaceAllow_in,N(tblParts[[#This Row],[FaceAllow_in]])),0)</f>
        <v>39.31</v>
      </c>
      <c r="K118">
        <f>IFERROR(N(tblParts[[#This Row],[Qty]])*N(tblParts[[#This Row],[RequiredCutLen_in]]),0)</f>
        <v>235.86</v>
      </c>
      <c r="L118" t="str">
        <f>TRIM(tblParts[[#This Row],[Material]])&amp;"|"&amp;TEXT(tblParts[[#This Row],[Diameter_in]],"0.000")</f>
        <v>H13|1.750</v>
      </c>
    </row>
    <row r="119" spans="1:12" x14ac:dyDescent="0.25">
      <c r="A119" t="s">
        <v>530</v>
      </c>
      <c r="B119" t="s">
        <v>72</v>
      </c>
      <c r="C119" t="s">
        <v>6</v>
      </c>
      <c r="D119">
        <v>1.625</v>
      </c>
      <c r="E119">
        <v>45.521000000000001</v>
      </c>
      <c r="F119">
        <v>0.33800000000000002</v>
      </c>
      <c r="G119">
        <v>3</v>
      </c>
      <c r="H119">
        <v>7.2999999999999995E-2</v>
      </c>
      <c r="I119">
        <v>0.247</v>
      </c>
      <c r="J119">
        <f>IFERROR(N(tblParts[[#This Row],[FinishLen_in]])+N(tblParts[[#This Row],[ExtraStock_in]])+IF(OR(tblParts[[#This Row],[Kerf_in]]="",ISBLANK(tblParts[[#This Row],[Kerf_in]])),DefaultKerf_in,N(tblParts[[#This Row],[Kerf_in]]))+IF(OR(tblParts[[#This Row],[FaceAllow_in]]="",ISBLANK(tblParts[[#This Row],[FaceAllow_in]])),DefaultFaceAllow_in,N(tblParts[[#This Row],[FaceAllow_in]])),0)</f>
        <v>46.179000000000002</v>
      </c>
      <c r="K119">
        <f>IFERROR(N(tblParts[[#This Row],[Qty]])*N(tblParts[[#This Row],[RequiredCutLen_in]]),0)</f>
        <v>138.53700000000001</v>
      </c>
      <c r="L119" t="str">
        <f>TRIM(tblParts[[#This Row],[Material]])&amp;"|"&amp;TEXT(tblParts[[#This Row],[Diameter_in]],"0.000")</f>
        <v>D2|1.625</v>
      </c>
    </row>
    <row r="120" spans="1:12" x14ac:dyDescent="0.25">
      <c r="A120" t="s">
        <v>530</v>
      </c>
      <c r="B120" t="s">
        <v>73</v>
      </c>
      <c r="C120" t="s">
        <v>5</v>
      </c>
      <c r="D120">
        <v>1.5</v>
      </c>
      <c r="E120">
        <v>29.513999999999999</v>
      </c>
      <c r="F120">
        <v>0.43</v>
      </c>
      <c r="G120">
        <v>4</v>
      </c>
      <c r="H120">
        <v>0.11799999999999999</v>
      </c>
      <c r="I120">
        <v>7.0000000000000007E-2</v>
      </c>
      <c r="J120">
        <f>IFERROR(N(tblParts[[#This Row],[FinishLen_in]])+N(tblParts[[#This Row],[ExtraStock_in]])+IF(OR(tblParts[[#This Row],[Kerf_in]]="",ISBLANK(tblParts[[#This Row],[Kerf_in]])),DefaultKerf_in,N(tblParts[[#This Row],[Kerf_in]]))+IF(OR(tblParts[[#This Row],[FaceAllow_in]]="",ISBLANK(tblParts[[#This Row],[FaceAllow_in]])),DefaultFaceAllow_in,N(tblParts[[#This Row],[FaceAllow_in]])),0)</f>
        <v>30.131999999999998</v>
      </c>
      <c r="K120">
        <f>IFERROR(N(tblParts[[#This Row],[Qty]])*N(tblParts[[#This Row],[RequiredCutLen_in]]),0)</f>
        <v>120.52799999999999</v>
      </c>
      <c r="L120" t="str">
        <f>TRIM(tblParts[[#This Row],[Material]])&amp;"|"&amp;TEXT(tblParts[[#This Row],[Diameter_in]],"0.000")</f>
        <v>O1|1.500</v>
      </c>
    </row>
    <row r="121" spans="1:12" x14ac:dyDescent="0.25">
      <c r="A121" t="s">
        <v>530</v>
      </c>
      <c r="B121" t="s">
        <v>74</v>
      </c>
      <c r="C121" t="s">
        <v>15</v>
      </c>
      <c r="D121">
        <v>3.5</v>
      </c>
      <c r="E121">
        <v>9.33</v>
      </c>
      <c r="F121">
        <v>0.99</v>
      </c>
      <c r="G121">
        <v>1</v>
      </c>
      <c r="H121">
        <v>0.08</v>
      </c>
      <c r="J121">
        <f>IFERROR(N(tblParts[[#This Row],[FinishLen_in]])+N(tblParts[[#This Row],[ExtraStock_in]])+IF(OR(tblParts[[#This Row],[Kerf_in]]="",ISBLANK(tblParts[[#This Row],[Kerf_in]])),DefaultKerf_in,N(tblParts[[#This Row],[Kerf_in]]))+IF(OR(tblParts[[#This Row],[FaceAllow_in]]="",ISBLANK(tblParts[[#This Row],[FaceAllow_in]])),DefaultFaceAllow_in,N(tblParts[[#This Row],[FaceAllow_in]])),0)</f>
        <v>10.525</v>
      </c>
      <c r="K121">
        <f>IFERROR(N(tblParts[[#This Row],[Qty]])*N(tblParts[[#This Row],[RequiredCutLen_in]]),0)</f>
        <v>10.525</v>
      </c>
      <c r="L121" t="str">
        <f>TRIM(tblParts[[#This Row],[Material]])&amp;"|"&amp;TEXT(tblParts[[#This Row],[Diameter_in]],"0.000")</f>
        <v>UHMW|3.500</v>
      </c>
    </row>
    <row r="122" spans="1:12" x14ac:dyDescent="0.25">
      <c r="A122" t="s">
        <v>530</v>
      </c>
      <c r="B122" t="s">
        <v>75</v>
      </c>
      <c r="C122" t="s">
        <v>9</v>
      </c>
      <c r="D122">
        <v>2</v>
      </c>
      <c r="E122">
        <v>33.072000000000003</v>
      </c>
      <c r="F122">
        <v>0.995</v>
      </c>
      <c r="G122">
        <v>4</v>
      </c>
      <c r="H122">
        <v>7.4999999999999997E-2</v>
      </c>
      <c r="I122">
        <v>0.216</v>
      </c>
      <c r="J122">
        <f>IFERROR(N(tblParts[[#This Row],[FinishLen_in]])+N(tblParts[[#This Row],[ExtraStock_in]])+IF(OR(tblParts[[#This Row],[Kerf_in]]="",ISBLANK(tblParts[[#This Row],[Kerf_in]])),DefaultKerf_in,N(tblParts[[#This Row],[Kerf_in]]))+IF(OR(tblParts[[#This Row],[FaceAllow_in]]="",ISBLANK(tblParts[[#This Row],[FaceAllow_in]])),DefaultFaceAllow_in,N(tblParts[[#This Row],[FaceAllow_in]])),0)</f>
        <v>34.358000000000004</v>
      </c>
      <c r="K122">
        <f>IFERROR(N(tblParts[[#This Row],[Qty]])*N(tblParts[[#This Row],[RequiredCutLen_in]]),0)</f>
        <v>137.43200000000002</v>
      </c>
      <c r="L122" t="str">
        <f>TRIM(tblParts[[#This Row],[Material]])&amp;"|"&amp;TEXT(tblParts[[#This Row],[Diameter_in]],"0.000")</f>
        <v>Brass360|2.000</v>
      </c>
    </row>
    <row r="123" spans="1:12" x14ac:dyDescent="0.25">
      <c r="A123" t="s">
        <v>530</v>
      </c>
      <c r="B123" t="s">
        <v>76</v>
      </c>
      <c r="C123" t="s">
        <v>16</v>
      </c>
      <c r="D123">
        <v>4</v>
      </c>
      <c r="E123">
        <v>1.5489999999999999</v>
      </c>
      <c r="F123">
        <v>0.188</v>
      </c>
      <c r="G123">
        <v>5</v>
      </c>
      <c r="H123">
        <v>7.2999999999999995E-2</v>
      </c>
      <c r="I123">
        <v>8.3000000000000004E-2</v>
      </c>
      <c r="J123">
        <f>IFERROR(N(tblParts[[#This Row],[FinishLen_in]])+N(tblParts[[#This Row],[ExtraStock_in]])+IF(OR(tblParts[[#This Row],[Kerf_in]]="",ISBLANK(tblParts[[#This Row],[Kerf_in]])),DefaultKerf_in,N(tblParts[[#This Row],[Kerf_in]]))+IF(OR(tblParts[[#This Row],[FaceAllow_in]]="",ISBLANK(tblParts[[#This Row],[FaceAllow_in]])),DefaultFaceAllow_in,N(tblParts[[#This Row],[FaceAllow_in]])),0)</f>
        <v>1.8929999999999998</v>
      </c>
      <c r="K123">
        <f>IFERROR(N(tblParts[[#This Row],[Qty]])*N(tblParts[[#This Row],[RequiredCutLen_in]]),0)</f>
        <v>9.4649999999999999</v>
      </c>
      <c r="L123" t="str">
        <f>TRIM(tblParts[[#This Row],[Material]])&amp;"|"&amp;TEXT(tblParts[[#This Row],[Diameter_in]],"0.000")</f>
        <v>Acetal|4.000</v>
      </c>
    </row>
    <row r="124" spans="1:12" x14ac:dyDescent="0.25">
      <c r="A124" t="s">
        <v>530</v>
      </c>
      <c r="B124" t="s">
        <v>77</v>
      </c>
      <c r="C124" t="s">
        <v>15</v>
      </c>
      <c r="D124">
        <v>3.5</v>
      </c>
      <c r="E124">
        <v>42.81</v>
      </c>
      <c r="F124">
        <v>0.59</v>
      </c>
      <c r="G124">
        <v>4</v>
      </c>
      <c r="H124">
        <v>6.3E-2</v>
      </c>
      <c r="I124">
        <v>0.20599999999999999</v>
      </c>
      <c r="J124">
        <f>IFERROR(N(tblParts[[#This Row],[FinishLen_in]])+N(tblParts[[#This Row],[ExtraStock_in]])+IF(OR(tblParts[[#This Row],[Kerf_in]]="",ISBLANK(tblParts[[#This Row],[Kerf_in]])),DefaultKerf_in,N(tblParts[[#This Row],[Kerf_in]]))+IF(OR(tblParts[[#This Row],[FaceAllow_in]]="",ISBLANK(tblParts[[#This Row],[FaceAllow_in]])),DefaultFaceAllow_in,N(tblParts[[#This Row],[FaceAllow_in]])),0)</f>
        <v>43.669000000000011</v>
      </c>
      <c r="K124">
        <f>IFERROR(N(tblParts[[#This Row],[Qty]])*N(tblParts[[#This Row],[RequiredCutLen_in]]),0)</f>
        <v>174.67600000000004</v>
      </c>
      <c r="L124" t="str">
        <f>TRIM(tblParts[[#This Row],[Material]])&amp;"|"&amp;TEXT(tblParts[[#This Row],[Diameter_in]],"0.000")</f>
        <v>UHMW|3.500</v>
      </c>
    </row>
    <row r="125" spans="1:12" x14ac:dyDescent="0.25">
      <c r="A125" t="s">
        <v>530</v>
      </c>
      <c r="B125" t="s">
        <v>78</v>
      </c>
      <c r="C125">
        <v>1018</v>
      </c>
      <c r="D125">
        <v>0.5</v>
      </c>
      <c r="E125">
        <v>28.640999999999998</v>
      </c>
      <c r="F125">
        <v>0.252</v>
      </c>
      <c r="G125">
        <v>6</v>
      </c>
      <c r="I125">
        <v>9.4E-2</v>
      </c>
      <c r="J125">
        <f>IFERROR(N(tblParts[[#This Row],[FinishLen_in]])+N(tblParts[[#This Row],[ExtraStock_in]])+IF(OR(tblParts[[#This Row],[Kerf_in]]="",ISBLANK(tblParts[[#This Row],[Kerf_in]])),DefaultKerf_in,N(tblParts[[#This Row],[Kerf_in]]))+IF(OR(tblParts[[#This Row],[FaceAllow_in]]="",ISBLANK(tblParts[[#This Row],[FaceAllow_in]])),DefaultFaceAllow_in,N(tblParts[[#This Row],[FaceAllow_in]])),0)</f>
        <v>29.111999999999998</v>
      </c>
      <c r="K125">
        <f>IFERROR(N(tblParts[[#This Row],[Qty]])*N(tblParts[[#This Row],[RequiredCutLen_in]]),0)</f>
        <v>174.672</v>
      </c>
      <c r="L125" t="str">
        <f>TRIM(tblParts[[#This Row],[Material]])&amp;"|"&amp;TEXT(tblParts[[#This Row],[Diameter_in]],"0.000")</f>
        <v>1018|0.500</v>
      </c>
    </row>
    <row r="126" spans="1:12" x14ac:dyDescent="0.25">
      <c r="A126" t="s">
        <v>530</v>
      </c>
      <c r="B126" t="s">
        <v>79</v>
      </c>
      <c r="C126">
        <v>8620</v>
      </c>
      <c r="D126">
        <v>1</v>
      </c>
      <c r="E126">
        <v>23.37</v>
      </c>
      <c r="F126">
        <v>0.372</v>
      </c>
      <c r="G126">
        <v>2</v>
      </c>
      <c r="H126">
        <v>7.1999999999999995E-2</v>
      </c>
      <c r="J126">
        <f>IFERROR(N(tblParts[[#This Row],[FinishLen_in]])+N(tblParts[[#This Row],[ExtraStock_in]])+IF(OR(tblParts[[#This Row],[Kerf_in]]="",ISBLANK(tblParts[[#This Row],[Kerf_in]])),DefaultKerf_in,N(tblParts[[#This Row],[Kerf_in]]))+IF(OR(tblParts[[#This Row],[FaceAllow_in]]="",ISBLANK(tblParts[[#This Row],[FaceAllow_in]])),DefaultFaceAllow_in,N(tblParts[[#This Row],[FaceAllow_in]])),0)</f>
        <v>23.939</v>
      </c>
      <c r="K126">
        <f>IFERROR(N(tblParts[[#This Row],[Qty]])*N(tblParts[[#This Row],[RequiredCutLen_in]]),0)</f>
        <v>47.878</v>
      </c>
      <c r="L126" t="str">
        <f>TRIM(tblParts[[#This Row],[Material]])&amp;"|"&amp;TEXT(tblParts[[#This Row],[Diameter_in]],"0.000")</f>
        <v>8620|1.000</v>
      </c>
    </row>
    <row r="127" spans="1:12" x14ac:dyDescent="0.25">
      <c r="A127" t="s">
        <v>530</v>
      </c>
      <c r="B127" t="s">
        <v>80</v>
      </c>
      <c r="C127" t="s">
        <v>13</v>
      </c>
      <c r="D127">
        <v>2.75</v>
      </c>
      <c r="E127">
        <v>12.101000000000001</v>
      </c>
      <c r="F127">
        <v>0.54500000000000004</v>
      </c>
      <c r="G127">
        <v>3</v>
      </c>
      <c r="H127">
        <v>6.8000000000000005E-2</v>
      </c>
      <c r="I127">
        <v>0.23100000000000001</v>
      </c>
      <c r="J127">
        <f>IFERROR(N(tblParts[[#This Row],[FinishLen_in]])+N(tblParts[[#This Row],[ExtraStock_in]])+IF(OR(tblParts[[#This Row],[Kerf_in]]="",ISBLANK(tblParts[[#This Row],[Kerf_in]])),DefaultKerf_in,N(tblParts[[#This Row],[Kerf_in]]))+IF(OR(tblParts[[#This Row],[FaceAllow_in]]="",ISBLANK(tblParts[[#This Row],[FaceAllow_in]])),DefaultFaceAllow_in,N(tblParts[[#This Row],[FaceAllow_in]])),0)</f>
        <v>12.945</v>
      </c>
      <c r="K127">
        <f>IFERROR(N(tblParts[[#This Row],[Qty]])*N(tblParts[[#This Row],[RequiredCutLen_in]]),0)</f>
        <v>38.835000000000001</v>
      </c>
      <c r="L127" t="str">
        <f>TRIM(tblParts[[#This Row],[Material]])&amp;"|"&amp;TEXT(tblParts[[#This Row],[Diameter_in]],"0.000")</f>
        <v>Monel400|2.750</v>
      </c>
    </row>
    <row r="128" spans="1:12" x14ac:dyDescent="0.25">
      <c r="A128" t="s">
        <v>530</v>
      </c>
      <c r="B128" t="s">
        <v>81</v>
      </c>
      <c r="C128" t="s">
        <v>14</v>
      </c>
      <c r="D128">
        <v>3</v>
      </c>
      <c r="E128">
        <v>7.258</v>
      </c>
      <c r="F128">
        <v>0.375</v>
      </c>
      <c r="G128">
        <v>1</v>
      </c>
      <c r="I128">
        <v>6.5000000000000002E-2</v>
      </c>
      <c r="J128">
        <f>IFERROR(N(tblParts[[#This Row],[FinishLen_in]])+N(tblParts[[#This Row],[ExtraStock_in]])+IF(OR(tblParts[[#This Row],[Kerf_in]]="",ISBLANK(tblParts[[#This Row],[Kerf_in]])),DefaultKerf_in,N(tblParts[[#This Row],[Kerf_in]]))+IF(OR(tblParts[[#This Row],[FaceAllow_in]]="",ISBLANK(tblParts[[#This Row],[FaceAllow_in]])),DefaultFaceAllow_in,N(tblParts[[#This Row],[FaceAllow_in]])),0)</f>
        <v>7.8230000000000004</v>
      </c>
      <c r="K128">
        <f>IFERROR(N(tblParts[[#This Row],[Qty]])*N(tblParts[[#This Row],[RequiredCutLen_in]]),0)</f>
        <v>7.8230000000000004</v>
      </c>
      <c r="L128" t="str">
        <f>TRIM(tblParts[[#This Row],[Material]])&amp;"|"&amp;TEXT(tblParts[[#This Row],[Diameter_in]],"0.000")</f>
        <v>Inconel625|3.000</v>
      </c>
    </row>
    <row r="129" spans="1:12" x14ac:dyDescent="0.25">
      <c r="A129" t="s">
        <v>530</v>
      </c>
      <c r="B129" t="s">
        <v>82</v>
      </c>
      <c r="C129" t="s">
        <v>12</v>
      </c>
      <c r="D129">
        <v>2.5</v>
      </c>
      <c r="E129">
        <v>25.399000000000001</v>
      </c>
      <c r="F129">
        <v>0.82599999999999996</v>
      </c>
      <c r="G129">
        <v>1</v>
      </c>
      <c r="H129">
        <v>6.9000000000000006E-2</v>
      </c>
      <c r="J129">
        <f>IFERROR(N(tblParts[[#This Row],[FinishLen_in]])+N(tblParts[[#This Row],[ExtraStock_in]])+IF(OR(tblParts[[#This Row],[Kerf_in]]="",ISBLANK(tblParts[[#This Row],[Kerf_in]])),DefaultKerf_in,N(tblParts[[#This Row],[Kerf_in]]))+IF(OR(tblParts[[#This Row],[FaceAllow_in]]="",ISBLANK(tblParts[[#This Row],[FaceAllow_in]])),DefaultFaceAllow_in,N(tblParts[[#This Row],[FaceAllow_in]])),0)</f>
        <v>26.419</v>
      </c>
      <c r="K129">
        <f>IFERROR(N(tblParts[[#This Row],[Qty]])*N(tblParts[[#This Row],[RequiredCutLen_in]]),0)</f>
        <v>26.419</v>
      </c>
      <c r="L129" t="str">
        <f>TRIM(tblParts[[#This Row],[Material]])&amp;"|"&amp;TEXT(tblParts[[#This Row],[Diameter_in]],"0.000")</f>
        <v>Ti-6Al-4V|2.500</v>
      </c>
    </row>
    <row r="130" spans="1:12" x14ac:dyDescent="0.25">
      <c r="A130" t="s">
        <v>530</v>
      </c>
      <c r="B130" t="s">
        <v>83</v>
      </c>
      <c r="C130" t="s">
        <v>11</v>
      </c>
      <c r="D130">
        <v>2.25</v>
      </c>
      <c r="E130">
        <v>2.387</v>
      </c>
      <c r="F130">
        <v>0.82299999999999995</v>
      </c>
      <c r="G130">
        <v>6</v>
      </c>
      <c r="H130">
        <v>9.2999999999999999E-2</v>
      </c>
      <c r="I130">
        <v>0.128</v>
      </c>
      <c r="J130">
        <f>IFERROR(N(tblParts[[#This Row],[FinishLen_in]])+N(tblParts[[#This Row],[ExtraStock_in]])+IF(OR(tblParts[[#This Row],[Kerf_in]]="",ISBLANK(tblParts[[#This Row],[Kerf_in]])),DefaultKerf_in,N(tblParts[[#This Row],[Kerf_in]]))+IF(OR(tblParts[[#This Row],[FaceAllow_in]]="",ISBLANK(tblParts[[#This Row],[FaceAllow_in]])),DefaultFaceAllow_in,N(tblParts[[#This Row],[FaceAllow_in]])),0)</f>
        <v>3.431</v>
      </c>
      <c r="K130">
        <f>IFERROR(N(tblParts[[#This Row],[Qty]])*N(tblParts[[#This Row],[RequiredCutLen_in]]),0)</f>
        <v>20.585999999999999</v>
      </c>
      <c r="L130" t="str">
        <f>TRIM(tblParts[[#This Row],[Material]])&amp;"|"&amp;TEXT(tblParts[[#This Row],[Diameter_in]],"0.000")</f>
        <v>Al7075|2.250</v>
      </c>
    </row>
    <row r="131" spans="1:12" x14ac:dyDescent="0.25">
      <c r="A131" t="s">
        <v>530</v>
      </c>
      <c r="B131" t="s">
        <v>84</v>
      </c>
      <c r="C131" t="s">
        <v>13</v>
      </c>
      <c r="D131">
        <v>2.75</v>
      </c>
      <c r="E131">
        <v>13.432</v>
      </c>
      <c r="F131">
        <v>0.47699999999999998</v>
      </c>
      <c r="G131">
        <v>3</v>
      </c>
      <c r="J131">
        <f>IFERROR(N(tblParts[[#This Row],[FinishLen_in]])+N(tblParts[[#This Row],[ExtraStock_in]])+IF(OR(tblParts[[#This Row],[Kerf_in]]="",ISBLANK(tblParts[[#This Row],[Kerf_in]])),DefaultKerf_in,N(tblParts[[#This Row],[Kerf_in]]))+IF(OR(tblParts[[#This Row],[FaceAllow_in]]="",ISBLANK(tblParts[[#This Row],[FaceAllow_in]])),DefaultFaceAllow_in,N(tblParts[[#This Row],[FaceAllow_in]])),0)</f>
        <v>14.159000000000001</v>
      </c>
      <c r="K131">
        <f>IFERROR(N(tblParts[[#This Row],[Qty]])*N(tblParts[[#This Row],[RequiredCutLen_in]]),0)</f>
        <v>42.477000000000004</v>
      </c>
      <c r="L131" t="str">
        <f>TRIM(tblParts[[#This Row],[Material]])&amp;"|"&amp;TEXT(tblParts[[#This Row],[Diameter_in]],"0.000")</f>
        <v>Monel400|2.750</v>
      </c>
    </row>
    <row r="132" spans="1:12" x14ac:dyDescent="0.25">
      <c r="A132" t="s">
        <v>530</v>
      </c>
      <c r="B132" t="s">
        <v>85</v>
      </c>
      <c r="C132" t="s">
        <v>5</v>
      </c>
      <c r="D132">
        <v>1.5</v>
      </c>
      <c r="E132">
        <v>21.64</v>
      </c>
      <c r="F132">
        <v>0.66700000000000004</v>
      </c>
      <c r="G132">
        <v>1</v>
      </c>
      <c r="I132">
        <v>0.128</v>
      </c>
      <c r="J132">
        <f>IFERROR(N(tblParts[[#This Row],[FinishLen_in]])+N(tblParts[[#This Row],[ExtraStock_in]])+IF(OR(tblParts[[#This Row],[Kerf_in]]="",ISBLANK(tblParts[[#This Row],[Kerf_in]])),DefaultKerf_in,N(tblParts[[#This Row],[Kerf_in]]))+IF(OR(tblParts[[#This Row],[FaceAllow_in]]="",ISBLANK(tblParts[[#This Row],[FaceAllow_in]])),DefaultFaceAllow_in,N(tblParts[[#This Row],[FaceAllow_in]])),0)</f>
        <v>22.560000000000002</v>
      </c>
      <c r="K132">
        <f>IFERROR(N(tblParts[[#This Row],[Qty]])*N(tblParts[[#This Row],[RequiredCutLen_in]]),0)</f>
        <v>22.560000000000002</v>
      </c>
      <c r="L132" t="str">
        <f>TRIM(tblParts[[#This Row],[Material]])&amp;"|"&amp;TEXT(tblParts[[#This Row],[Diameter_in]],"0.000")</f>
        <v>O1|1.500</v>
      </c>
    </row>
    <row r="133" spans="1:12" x14ac:dyDescent="0.25">
      <c r="A133" t="s">
        <v>530</v>
      </c>
      <c r="B133" t="s">
        <v>86</v>
      </c>
      <c r="C133" t="s">
        <v>16</v>
      </c>
      <c r="D133">
        <v>4</v>
      </c>
      <c r="E133">
        <v>8.0009999999999994</v>
      </c>
      <c r="F133">
        <v>0.41199999999999998</v>
      </c>
      <c r="G133">
        <v>4</v>
      </c>
      <c r="H133">
        <v>8.6999999999999994E-2</v>
      </c>
      <c r="I133">
        <v>0.09</v>
      </c>
      <c r="J133">
        <f>IFERROR(N(tblParts[[#This Row],[FinishLen_in]])+N(tblParts[[#This Row],[ExtraStock_in]])+IF(OR(tblParts[[#This Row],[Kerf_in]]="",ISBLANK(tblParts[[#This Row],[Kerf_in]])),DefaultKerf_in,N(tblParts[[#This Row],[Kerf_in]]))+IF(OR(tblParts[[#This Row],[FaceAllow_in]]="",ISBLANK(tblParts[[#This Row],[FaceAllow_in]])),DefaultFaceAllow_in,N(tblParts[[#This Row],[FaceAllow_in]])),0)</f>
        <v>8.59</v>
      </c>
      <c r="K133">
        <f>IFERROR(N(tblParts[[#This Row],[Qty]])*N(tblParts[[#This Row],[RequiredCutLen_in]]),0)</f>
        <v>34.36</v>
      </c>
      <c r="L133" t="str">
        <f>TRIM(tblParts[[#This Row],[Material]])&amp;"|"&amp;TEXT(tblParts[[#This Row],[Diameter_in]],"0.000")</f>
        <v>Acetal|4.000</v>
      </c>
    </row>
    <row r="134" spans="1:12" x14ac:dyDescent="0.25">
      <c r="A134" t="s">
        <v>530</v>
      </c>
      <c r="B134" t="s">
        <v>87</v>
      </c>
      <c r="C134" t="s">
        <v>13</v>
      </c>
      <c r="D134">
        <v>2.75</v>
      </c>
      <c r="E134">
        <v>31.919</v>
      </c>
      <c r="F134">
        <v>0.39700000000000002</v>
      </c>
      <c r="G134">
        <v>6</v>
      </c>
      <c r="H134">
        <v>7.4999999999999997E-2</v>
      </c>
      <c r="I134">
        <v>8.8999999999999996E-2</v>
      </c>
      <c r="J134">
        <f>IFERROR(N(tblParts[[#This Row],[FinishLen_in]])+N(tblParts[[#This Row],[ExtraStock_in]])+IF(OR(tblParts[[#This Row],[Kerf_in]]="",ISBLANK(tblParts[[#This Row],[Kerf_in]])),DefaultKerf_in,N(tblParts[[#This Row],[Kerf_in]]))+IF(OR(tblParts[[#This Row],[FaceAllow_in]]="",ISBLANK(tblParts[[#This Row],[FaceAllow_in]])),DefaultFaceAllow_in,N(tblParts[[#This Row],[FaceAllow_in]])),0)</f>
        <v>32.480000000000004</v>
      </c>
      <c r="K134">
        <f>IFERROR(N(tblParts[[#This Row],[Qty]])*N(tblParts[[#This Row],[RequiredCutLen_in]]),0)</f>
        <v>194.88000000000002</v>
      </c>
      <c r="L134" t="str">
        <f>TRIM(tblParts[[#This Row],[Material]])&amp;"|"&amp;TEXT(tblParts[[#This Row],[Diameter_in]],"0.000")</f>
        <v>Monel400|2.750</v>
      </c>
    </row>
    <row r="135" spans="1:12" x14ac:dyDescent="0.25">
      <c r="A135" t="s">
        <v>530</v>
      </c>
      <c r="B135" t="s">
        <v>88</v>
      </c>
      <c r="C135" t="s">
        <v>7</v>
      </c>
      <c r="D135">
        <v>1.75</v>
      </c>
      <c r="E135">
        <v>29.34</v>
      </c>
      <c r="F135">
        <v>0.79800000000000004</v>
      </c>
      <c r="G135">
        <v>1</v>
      </c>
      <c r="H135">
        <v>6.7000000000000004E-2</v>
      </c>
      <c r="I135">
        <v>0.19500000000000001</v>
      </c>
      <c r="J135">
        <f>IFERROR(N(tblParts[[#This Row],[FinishLen_in]])+N(tblParts[[#This Row],[ExtraStock_in]])+IF(OR(tblParts[[#This Row],[Kerf_in]]="",ISBLANK(tblParts[[#This Row],[Kerf_in]])),DefaultKerf_in,N(tblParts[[#This Row],[Kerf_in]]))+IF(OR(tblParts[[#This Row],[FaceAllow_in]]="",ISBLANK(tblParts[[#This Row],[FaceAllow_in]])),DefaultFaceAllow_in,N(tblParts[[#This Row],[FaceAllow_in]])),0)</f>
        <v>30.4</v>
      </c>
      <c r="K135">
        <f>IFERROR(N(tblParts[[#This Row],[Qty]])*N(tblParts[[#This Row],[RequiredCutLen_in]]),0)</f>
        <v>30.4</v>
      </c>
      <c r="L135" t="str">
        <f>TRIM(tblParts[[#This Row],[Material]])&amp;"|"&amp;TEXT(tblParts[[#This Row],[Diameter_in]],"0.000")</f>
        <v>H13|1.750</v>
      </c>
    </row>
    <row r="136" spans="1:12" x14ac:dyDescent="0.25">
      <c r="A136" t="s">
        <v>530</v>
      </c>
      <c r="B136" t="s">
        <v>89</v>
      </c>
      <c r="C136" t="s">
        <v>9</v>
      </c>
      <c r="D136">
        <v>2</v>
      </c>
      <c r="E136">
        <v>31.803000000000001</v>
      </c>
      <c r="F136">
        <v>0.27100000000000002</v>
      </c>
      <c r="G136">
        <v>3</v>
      </c>
      <c r="H136">
        <v>7.3999999999999996E-2</v>
      </c>
      <c r="I136">
        <v>0.14899999999999999</v>
      </c>
      <c r="J136">
        <f>IFERROR(N(tblParts[[#This Row],[FinishLen_in]])+N(tblParts[[#This Row],[ExtraStock_in]])+IF(OR(tblParts[[#This Row],[Kerf_in]]="",ISBLANK(tblParts[[#This Row],[Kerf_in]])),DefaultKerf_in,N(tblParts[[#This Row],[Kerf_in]]))+IF(OR(tblParts[[#This Row],[FaceAllow_in]]="",ISBLANK(tblParts[[#This Row],[FaceAllow_in]])),DefaultFaceAllow_in,N(tblParts[[#This Row],[FaceAllow_in]])),0)</f>
        <v>32.296999999999997</v>
      </c>
      <c r="K136">
        <f>IFERROR(N(tblParts[[#This Row],[Qty]])*N(tblParts[[#This Row],[RequiredCutLen_in]]),0)</f>
        <v>96.890999999999991</v>
      </c>
      <c r="L136" t="str">
        <f>TRIM(tblParts[[#This Row],[Material]])&amp;"|"&amp;TEXT(tblParts[[#This Row],[Diameter_in]],"0.000")</f>
        <v>Brass360|2.000</v>
      </c>
    </row>
    <row r="137" spans="1:12" x14ac:dyDescent="0.25">
      <c r="A137" t="s">
        <v>530</v>
      </c>
      <c r="B137" t="s">
        <v>90</v>
      </c>
      <c r="C137" t="s">
        <v>5</v>
      </c>
      <c r="D137">
        <v>1.5</v>
      </c>
      <c r="E137">
        <v>30.884</v>
      </c>
      <c r="F137">
        <v>0.60499999999999998</v>
      </c>
      <c r="G137">
        <v>1</v>
      </c>
      <c r="H137">
        <v>0.11899999999999999</v>
      </c>
      <c r="J137">
        <f>IFERROR(N(tblParts[[#This Row],[FinishLen_in]])+N(tblParts[[#This Row],[ExtraStock_in]])+IF(OR(tblParts[[#This Row],[Kerf_in]]="",ISBLANK(tblParts[[#This Row],[Kerf_in]])),DefaultKerf_in,N(tblParts[[#This Row],[Kerf_in]]))+IF(OR(tblParts[[#This Row],[FaceAllow_in]]="",ISBLANK(tblParts[[#This Row],[FaceAllow_in]])),DefaultFaceAllow_in,N(tblParts[[#This Row],[FaceAllow_in]])),0)</f>
        <v>31.733000000000001</v>
      </c>
      <c r="K137">
        <f>IFERROR(N(tblParts[[#This Row],[Qty]])*N(tblParts[[#This Row],[RequiredCutLen_in]]),0)</f>
        <v>31.733000000000001</v>
      </c>
      <c r="L137" t="str">
        <f>TRIM(tblParts[[#This Row],[Material]])&amp;"|"&amp;TEXT(tblParts[[#This Row],[Diameter_in]],"0.000")</f>
        <v>O1|1.500</v>
      </c>
    </row>
    <row r="138" spans="1:12" x14ac:dyDescent="0.25">
      <c r="A138" t="s">
        <v>530</v>
      </c>
      <c r="B138" t="s">
        <v>91</v>
      </c>
      <c r="C138">
        <v>1018</v>
      </c>
      <c r="D138">
        <v>0.5</v>
      </c>
      <c r="E138">
        <v>38.508000000000003</v>
      </c>
      <c r="F138">
        <v>0.999</v>
      </c>
      <c r="G138">
        <v>6</v>
      </c>
      <c r="J138">
        <f>IFERROR(N(tblParts[[#This Row],[FinishLen_in]])+N(tblParts[[#This Row],[ExtraStock_in]])+IF(OR(tblParts[[#This Row],[Kerf_in]]="",ISBLANK(tblParts[[#This Row],[Kerf_in]])),DefaultKerf_in,N(tblParts[[#This Row],[Kerf_in]]))+IF(OR(tblParts[[#This Row],[FaceAllow_in]]="",ISBLANK(tblParts[[#This Row],[FaceAllow_in]])),DefaultFaceAllow_in,N(tblParts[[#This Row],[FaceAllow_in]])),0)</f>
        <v>39.757000000000005</v>
      </c>
      <c r="K138">
        <f>IFERROR(N(tblParts[[#This Row],[Qty]])*N(tblParts[[#This Row],[RequiredCutLen_in]]),0)</f>
        <v>238.54200000000003</v>
      </c>
      <c r="L138" t="str">
        <f>TRIM(tblParts[[#This Row],[Material]])&amp;"|"&amp;TEXT(tblParts[[#This Row],[Diameter_in]],"0.000")</f>
        <v>1018|0.500</v>
      </c>
    </row>
    <row r="139" spans="1:12" x14ac:dyDescent="0.25">
      <c r="A139" t="s">
        <v>530</v>
      </c>
      <c r="B139" t="s">
        <v>92</v>
      </c>
      <c r="C139" t="s">
        <v>6</v>
      </c>
      <c r="D139">
        <v>1.625</v>
      </c>
      <c r="E139">
        <v>7.7779999999999996</v>
      </c>
      <c r="F139">
        <v>0.21299999999999999</v>
      </c>
      <c r="G139">
        <v>2</v>
      </c>
      <c r="I139">
        <v>0.11600000000000001</v>
      </c>
      <c r="J139">
        <f>IFERROR(N(tblParts[[#This Row],[FinishLen_in]])+N(tblParts[[#This Row],[ExtraStock_in]])+IF(OR(tblParts[[#This Row],[Kerf_in]]="",ISBLANK(tblParts[[#This Row],[Kerf_in]])),DefaultKerf_in,N(tblParts[[#This Row],[Kerf_in]]))+IF(OR(tblParts[[#This Row],[FaceAllow_in]]="",ISBLANK(tblParts[[#This Row],[FaceAllow_in]])),DefaultFaceAllow_in,N(tblParts[[#This Row],[FaceAllow_in]])),0)</f>
        <v>8.2319999999999993</v>
      </c>
      <c r="K139">
        <f>IFERROR(N(tblParts[[#This Row],[Qty]])*N(tblParts[[#This Row],[RequiredCutLen_in]]),0)</f>
        <v>16.463999999999999</v>
      </c>
      <c r="L139" t="str">
        <f>TRIM(tblParts[[#This Row],[Material]])&amp;"|"&amp;TEXT(tblParts[[#This Row],[Diameter_in]],"0.000")</f>
        <v>D2|1.625</v>
      </c>
    </row>
    <row r="140" spans="1:12" x14ac:dyDescent="0.25">
      <c r="A140" t="s">
        <v>530</v>
      </c>
      <c r="B140" t="s">
        <v>93</v>
      </c>
      <c r="C140" t="s">
        <v>11</v>
      </c>
      <c r="D140">
        <v>2.25</v>
      </c>
      <c r="E140">
        <v>30.137</v>
      </c>
      <c r="F140">
        <v>0.59299999999999997</v>
      </c>
      <c r="G140">
        <v>6</v>
      </c>
      <c r="H140">
        <v>8.8999999999999996E-2</v>
      </c>
      <c r="I140">
        <v>9.0999999999999998E-2</v>
      </c>
      <c r="J140">
        <f>IFERROR(N(tblParts[[#This Row],[FinishLen_in]])+N(tblParts[[#This Row],[ExtraStock_in]])+IF(OR(tblParts[[#This Row],[Kerf_in]]="",ISBLANK(tblParts[[#This Row],[Kerf_in]])),DefaultKerf_in,N(tblParts[[#This Row],[Kerf_in]]))+IF(OR(tblParts[[#This Row],[FaceAllow_in]]="",ISBLANK(tblParts[[#This Row],[FaceAllow_in]])),DefaultFaceAllow_in,N(tblParts[[#This Row],[FaceAllow_in]])),0)</f>
        <v>30.91</v>
      </c>
      <c r="K140">
        <f>IFERROR(N(tblParts[[#This Row],[Qty]])*N(tblParts[[#This Row],[RequiredCutLen_in]]),0)</f>
        <v>185.46</v>
      </c>
      <c r="L140" t="str">
        <f>TRIM(tblParts[[#This Row],[Material]])&amp;"|"&amp;TEXT(tblParts[[#This Row],[Diameter_in]],"0.000")</f>
        <v>Al7075|2.250</v>
      </c>
    </row>
    <row r="141" spans="1:12" x14ac:dyDescent="0.25">
      <c r="A141" t="s">
        <v>530</v>
      </c>
      <c r="B141" t="s">
        <v>94</v>
      </c>
      <c r="C141" t="s">
        <v>11</v>
      </c>
      <c r="D141">
        <v>2.25</v>
      </c>
      <c r="E141">
        <v>38.003999999999998</v>
      </c>
      <c r="F141">
        <v>0.315</v>
      </c>
      <c r="G141">
        <v>4</v>
      </c>
      <c r="I141">
        <v>7.4999999999999997E-2</v>
      </c>
      <c r="J141">
        <f>IFERROR(N(tblParts[[#This Row],[FinishLen_in]])+N(tblParts[[#This Row],[ExtraStock_in]])+IF(OR(tblParts[[#This Row],[Kerf_in]]="",ISBLANK(tblParts[[#This Row],[Kerf_in]])),DefaultKerf_in,N(tblParts[[#This Row],[Kerf_in]]))+IF(OR(tblParts[[#This Row],[FaceAllow_in]]="",ISBLANK(tblParts[[#This Row],[FaceAllow_in]])),DefaultFaceAllow_in,N(tblParts[[#This Row],[FaceAllow_in]])),0)</f>
        <v>38.518999999999998</v>
      </c>
      <c r="K141">
        <f>IFERROR(N(tblParts[[#This Row],[Qty]])*N(tblParts[[#This Row],[RequiredCutLen_in]]),0)</f>
        <v>154.07599999999999</v>
      </c>
      <c r="L141" t="str">
        <f>TRIM(tblParts[[#This Row],[Material]])&amp;"|"&amp;TEXT(tblParts[[#This Row],[Diameter_in]],"0.000")</f>
        <v>Al7075|2.250</v>
      </c>
    </row>
    <row r="142" spans="1:12" x14ac:dyDescent="0.25">
      <c r="A142" t="s">
        <v>530</v>
      </c>
      <c r="B142" t="s">
        <v>95</v>
      </c>
      <c r="C142">
        <v>1018</v>
      </c>
      <c r="D142">
        <v>0.5</v>
      </c>
      <c r="E142">
        <v>13.906000000000001</v>
      </c>
      <c r="F142">
        <v>0.63900000000000001</v>
      </c>
      <c r="G142">
        <v>4</v>
      </c>
      <c r="I142">
        <v>0.23499999999999999</v>
      </c>
      <c r="J142">
        <f>IFERROR(N(tblParts[[#This Row],[FinishLen_in]])+N(tblParts[[#This Row],[ExtraStock_in]])+IF(OR(tblParts[[#This Row],[Kerf_in]]="",ISBLANK(tblParts[[#This Row],[Kerf_in]])),DefaultKerf_in,N(tblParts[[#This Row],[Kerf_in]]))+IF(OR(tblParts[[#This Row],[FaceAllow_in]]="",ISBLANK(tblParts[[#This Row],[FaceAllow_in]])),DefaultFaceAllow_in,N(tblParts[[#This Row],[FaceAllow_in]])),0)</f>
        <v>14.904999999999999</v>
      </c>
      <c r="K142">
        <f>IFERROR(N(tblParts[[#This Row],[Qty]])*N(tblParts[[#This Row],[RequiredCutLen_in]]),0)</f>
        <v>59.62</v>
      </c>
      <c r="L142" t="str">
        <f>TRIM(tblParts[[#This Row],[Material]])&amp;"|"&amp;TEXT(tblParts[[#This Row],[Diameter_in]],"0.000")</f>
        <v>1018|0.500</v>
      </c>
    </row>
    <row r="143" spans="1:12" x14ac:dyDescent="0.25">
      <c r="A143" t="s">
        <v>530</v>
      </c>
      <c r="B143" t="s">
        <v>96</v>
      </c>
      <c r="C143" t="s">
        <v>15</v>
      </c>
      <c r="D143">
        <v>3.5</v>
      </c>
      <c r="E143">
        <v>30.847000000000001</v>
      </c>
      <c r="F143">
        <v>0.27400000000000002</v>
      </c>
      <c r="G143">
        <v>2</v>
      </c>
      <c r="H143">
        <v>6.5000000000000002E-2</v>
      </c>
      <c r="I143">
        <v>6.2E-2</v>
      </c>
      <c r="J143">
        <f>IFERROR(N(tblParts[[#This Row],[FinishLen_in]])+N(tblParts[[#This Row],[ExtraStock_in]])+IF(OR(tblParts[[#This Row],[Kerf_in]]="",ISBLANK(tblParts[[#This Row],[Kerf_in]])),DefaultKerf_in,N(tblParts[[#This Row],[Kerf_in]]))+IF(OR(tblParts[[#This Row],[FaceAllow_in]]="",ISBLANK(tblParts[[#This Row],[FaceAllow_in]])),DefaultFaceAllow_in,N(tblParts[[#This Row],[FaceAllow_in]])),0)</f>
        <v>31.248000000000005</v>
      </c>
      <c r="K143">
        <f>IFERROR(N(tblParts[[#This Row],[Qty]])*N(tblParts[[#This Row],[RequiredCutLen_in]]),0)</f>
        <v>62.496000000000009</v>
      </c>
      <c r="L143" t="str">
        <f>TRIM(tblParts[[#This Row],[Material]])&amp;"|"&amp;TEXT(tblParts[[#This Row],[Diameter_in]],"0.000")</f>
        <v>UHMW|3.500</v>
      </c>
    </row>
    <row r="144" spans="1:12" x14ac:dyDescent="0.25">
      <c r="A144" t="s">
        <v>530</v>
      </c>
      <c r="B144" t="s">
        <v>97</v>
      </c>
      <c r="C144" t="s">
        <v>8</v>
      </c>
      <c r="D144">
        <v>1.875</v>
      </c>
      <c r="E144">
        <v>9.1</v>
      </c>
      <c r="F144">
        <v>0.40600000000000003</v>
      </c>
      <c r="G144">
        <v>5</v>
      </c>
      <c r="H144">
        <v>8.5000000000000006E-2</v>
      </c>
      <c r="J144">
        <f>IFERROR(N(tblParts[[#This Row],[FinishLen_in]])+N(tblParts[[#This Row],[ExtraStock_in]])+IF(OR(tblParts[[#This Row],[Kerf_in]]="",ISBLANK(tblParts[[#This Row],[Kerf_in]])),DefaultKerf_in,N(tblParts[[#This Row],[Kerf_in]]))+IF(OR(tblParts[[#This Row],[FaceAllow_in]]="",ISBLANK(tblParts[[#This Row],[FaceAllow_in]])),DefaultFaceAllow_in,N(tblParts[[#This Row],[FaceAllow_in]])),0)</f>
        <v>9.7160000000000011</v>
      </c>
      <c r="K144">
        <f>IFERROR(N(tblParts[[#This Row],[Qty]])*N(tblParts[[#This Row],[RequiredCutLen_in]]),0)</f>
        <v>48.580000000000005</v>
      </c>
      <c r="L144" t="str">
        <f>TRIM(tblParts[[#This Row],[Material]])&amp;"|"&amp;TEXT(tblParts[[#This Row],[Diameter_in]],"0.000")</f>
        <v>A2|1.875</v>
      </c>
    </row>
    <row r="145" spans="1:12" x14ac:dyDescent="0.25">
      <c r="A145" t="s">
        <v>530</v>
      </c>
      <c r="B145" t="s">
        <v>98</v>
      </c>
      <c r="C145" t="s">
        <v>14</v>
      </c>
      <c r="D145">
        <v>3</v>
      </c>
      <c r="E145">
        <v>39.988999999999997</v>
      </c>
      <c r="F145">
        <v>0.53800000000000003</v>
      </c>
      <c r="G145">
        <v>5</v>
      </c>
      <c r="H145">
        <v>6.3E-2</v>
      </c>
      <c r="I145">
        <v>7.6999999999999999E-2</v>
      </c>
      <c r="J145">
        <f>IFERROR(N(tblParts[[#This Row],[FinishLen_in]])+N(tblParts[[#This Row],[ExtraStock_in]])+IF(OR(tblParts[[#This Row],[Kerf_in]]="",ISBLANK(tblParts[[#This Row],[Kerf_in]])),DefaultKerf_in,N(tblParts[[#This Row],[Kerf_in]]))+IF(OR(tblParts[[#This Row],[FaceAllow_in]]="",ISBLANK(tblParts[[#This Row],[FaceAllow_in]])),DefaultFaceAllow_in,N(tblParts[[#This Row],[FaceAllow_in]])),0)</f>
        <v>40.666999999999994</v>
      </c>
      <c r="K145">
        <f>IFERROR(N(tblParts[[#This Row],[Qty]])*N(tblParts[[#This Row],[RequiredCutLen_in]]),0)</f>
        <v>203.33499999999998</v>
      </c>
      <c r="L145" t="str">
        <f>TRIM(tblParts[[#This Row],[Material]])&amp;"|"&amp;TEXT(tblParts[[#This Row],[Diameter_in]],"0.000")</f>
        <v>Inconel625|3.000</v>
      </c>
    </row>
    <row r="146" spans="1:12" x14ac:dyDescent="0.25">
      <c r="A146" t="s">
        <v>530</v>
      </c>
      <c r="B146" t="s">
        <v>99</v>
      </c>
      <c r="C146">
        <v>4340</v>
      </c>
      <c r="D146">
        <v>0.875</v>
      </c>
      <c r="E146">
        <v>2.4279999999999999</v>
      </c>
      <c r="F146">
        <v>0.17100000000000001</v>
      </c>
      <c r="G146">
        <v>4</v>
      </c>
      <c r="H146">
        <v>9.5000000000000001E-2</v>
      </c>
      <c r="I146">
        <v>0.22900000000000001</v>
      </c>
      <c r="J146">
        <f>IFERROR(N(tblParts[[#This Row],[FinishLen_in]])+N(tblParts[[#This Row],[ExtraStock_in]])+IF(OR(tblParts[[#This Row],[Kerf_in]]="",ISBLANK(tblParts[[#This Row],[Kerf_in]])),DefaultKerf_in,N(tblParts[[#This Row],[Kerf_in]]))+IF(OR(tblParts[[#This Row],[FaceAllow_in]]="",ISBLANK(tblParts[[#This Row],[FaceAllow_in]])),DefaultFaceAllow_in,N(tblParts[[#This Row],[FaceAllow_in]])),0)</f>
        <v>2.923</v>
      </c>
      <c r="K146">
        <f>IFERROR(N(tblParts[[#This Row],[Qty]])*N(tblParts[[#This Row],[RequiredCutLen_in]]),0)</f>
        <v>11.692</v>
      </c>
      <c r="L146" t="str">
        <f>TRIM(tblParts[[#This Row],[Material]])&amp;"|"&amp;TEXT(tblParts[[#This Row],[Diameter_in]],"0.000")</f>
        <v>4340|0.875</v>
      </c>
    </row>
    <row r="147" spans="1:12" x14ac:dyDescent="0.25">
      <c r="A147" t="s">
        <v>530</v>
      </c>
      <c r="B147" t="s">
        <v>100</v>
      </c>
      <c r="C147" t="s">
        <v>4</v>
      </c>
      <c r="D147">
        <v>1.125</v>
      </c>
      <c r="E147">
        <v>6.28</v>
      </c>
      <c r="F147">
        <v>0.26800000000000002</v>
      </c>
      <c r="G147">
        <v>3</v>
      </c>
      <c r="H147">
        <v>9.4E-2</v>
      </c>
      <c r="I147">
        <v>0.152</v>
      </c>
      <c r="J147">
        <f>IFERROR(N(tblParts[[#This Row],[FinishLen_in]])+N(tblParts[[#This Row],[ExtraStock_in]])+IF(OR(tblParts[[#This Row],[Kerf_in]]="",ISBLANK(tblParts[[#This Row],[Kerf_in]])),DefaultKerf_in,N(tblParts[[#This Row],[Kerf_in]]))+IF(OR(tblParts[[#This Row],[FaceAllow_in]]="",ISBLANK(tblParts[[#This Row],[FaceAllow_in]])),DefaultFaceAllow_in,N(tblParts[[#This Row],[FaceAllow_in]])),0)</f>
        <v>6.7940000000000005</v>
      </c>
      <c r="K147">
        <f>IFERROR(N(tblParts[[#This Row],[Qty]])*N(tblParts[[#This Row],[RequiredCutLen_in]]),0)</f>
        <v>20.382000000000001</v>
      </c>
      <c r="L147" t="str">
        <f>TRIM(tblParts[[#This Row],[Material]])&amp;"|"&amp;TEXT(tblParts[[#This Row],[Diameter_in]],"0.000")</f>
        <v>17-4PH|1.125</v>
      </c>
    </row>
    <row r="148" spans="1:12" x14ac:dyDescent="0.25">
      <c r="A148" t="s">
        <v>530</v>
      </c>
      <c r="B148" t="s">
        <v>101</v>
      </c>
      <c r="C148" t="s">
        <v>7</v>
      </c>
      <c r="D148">
        <v>1.75</v>
      </c>
      <c r="E148">
        <v>20.143000000000001</v>
      </c>
      <c r="F148">
        <v>0.41599999999999998</v>
      </c>
      <c r="G148">
        <v>1</v>
      </c>
      <c r="H148">
        <v>0.10299999999999999</v>
      </c>
      <c r="J148">
        <f>IFERROR(N(tblParts[[#This Row],[FinishLen_in]])+N(tblParts[[#This Row],[ExtraStock_in]])+IF(OR(tblParts[[#This Row],[Kerf_in]]="",ISBLANK(tblParts[[#This Row],[Kerf_in]])),DefaultKerf_in,N(tblParts[[#This Row],[Kerf_in]]))+IF(OR(tblParts[[#This Row],[FaceAllow_in]]="",ISBLANK(tblParts[[#This Row],[FaceAllow_in]])),DefaultFaceAllow_in,N(tblParts[[#This Row],[FaceAllow_in]])),0)</f>
        <v>20.787000000000003</v>
      </c>
      <c r="K148">
        <f>IFERROR(N(tblParts[[#This Row],[Qty]])*N(tblParts[[#This Row],[RequiredCutLen_in]]),0)</f>
        <v>20.787000000000003</v>
      </c>
      <c r="L148" t="str">
        <f>TRIM(tblParts[[#This Row],[Material]])&amp;"|"&amp;TEXT(tblParts[[#This Row],[Diameter_in]],"0.000")</f>
        <v>H13|1.750</v>
      </c>
    </row>
    <row r="149" spans="1:12" x14ac:dyDescent="0.25">
      <c r="A149" t="s">
        <v>530</v>
      </c>
      <c r="B149" t="s">
        <v>102</v>
      </c>
      <c r="C149" t="s">
        <v>8</v>
      </c>
      <c r="D149">
        <v>1.875</v>
      </c>
      <c r="E149">
        <v>4.742</v>
      </c>
      <c r="F149">
        <v>0.40300000000000002</v>
      </c>
      <c r="G149">
        <v>3</v>
      </c>
      <c r="H149">
        <v>0.112</v>
      </c>
      <c r="I149">
        <v>0.18</v>
      </c>
      <c r="J149">
        <f>IFERROR(N(tblParts[[#This Row],[FinishLen_in]])+N(tblParts[[#This Row],[ExtraStock_in]])+IF(OR(tblParts[[#This Row],[Kerf_in]]="",ISBLANK(tblParts[[#This Row],[Kerf_in]])),DefaultKerf_in,N(tblParts[[#This Row],[Kerf_in]]))+IF(OR(tblParts[[#This Row],[FaceAllow_in]]="",ISBLANK(tblParts[[#This Row],[FaceAllow_in]])),DefaultFaceAllow_in,N(tblParts[[#This Row],[FaceAllow_in]])),0)</f>
        <v>5.4369999999999994</v>
      </c>
      <c r="K149">
        <f>IFERROR(N(tblParts[[#This Row],[Qty]])*N(tblParts[[#This Row],[RequiredCutLen_in]]),0)</f>
        <v>16.311</v>
      </c>
      <c r="L149" t="str">
        <f>TRIM(tblParts[[#This Row],[Material]])&amp;"|"&amp;TEXT(tblParts[[#This Row],[Diameter_in]],"0.000")</f>
        <v>A2|1.875</v>
      </c>
    </row>
    <row r="150" spans="1:12" x14ac:dyDescent="0.25">
      <c r="A150" t="s">
        <v>530</v>
      </c>
      <c r="B150" t="s">
        <v>103</v>
      </c>
      <c r="C150" t="s">
        <v>11</v>
      </c>
      <c r="D150">
        <v>2.25</v>
      </c>
      <c r="E150">
        <v>35.662999999999997</v>
      </c>
      <c r="F150">
        <v>0.85299999999999998</v>
      </c>
      <c r="G150">
        <v>6</v>
      </c>
      <c r="J150">
        <f>IFERROR(N(tblParts[[#This Row],[FinishLen_in]])+N(tblParts[[#This Row],[ExtraStock_in]])+IF(OR(tblParts[[#This Row],[Kerf_in]]="",ISBLANK(tblParts[[#This Row],[Kerf_in]])),DefaultKerf_in,N(tblParts[[#This Row],[Kerf_in]]))+IF(OR(tblParts[[#This Row],[FaceAllow_in]]="",ISBLANK(tblParts[[#This Row],[FaceAllow_in]])),DefaultFaceAllow_in,N(tblParts[[#This Row],[FaceAllow_in]])),0)</f>
        <v>36.765999999999998</v>
      </c>
      <c r="K150">
        <f>IFERROR(N(tblParts[[#This Row],[Qty]])*N(tblParts[[#This Row],[RequiredCutLen_in]]),0)</f>
        <v>220.596</v>
      </c>
      <c r="L150" t="str">
        <f>TRIM(tblParts[[#This Row],[Material]])&amp;"|"&amp;TEXT(tblParts[[#This Row],[Diameter_in]],"0.000")</f>
        <v>Al7075|2.250</v>
      </c>
    </row>
    <row r="151" spans="1:12" x14ac:dyDescent="0.25">
      <c r="A151" t="s">
        <v>530</v>
      </c>
      <c r="B151" t="s">
        <v>104</v>
      </c>
      <c r="C151" t="s">
        <v>5</v>
      </c>
      <c r="D151">
        <v>1.5</v>
      </c>
      <c r="E151">
        <v>2.8969999999999998</v>
      </c>
      <c r="F151">
        <v>0.95899999999999996</v>
      </c>
      <c r="G151">
        <v>5</v>
      </c>
      <c r="J151">
        <f>IFERROR(N(tblParts[[#This Row],[FinishLen_in]])+N(tblParts[[#This Row],[ExtraStock_in]])+IF(OR(tblParts[[#This Row],[Kerf_in]]="",ISBLANK(tblParts[[#This Row],[Kerf_in]])),DefaultKerf_in,N(tblParts[[#This Row],[Kerf_in]]))+IF(OR(tblParts[[#This Row],[FaceAllow_in]]="",ISBLANK(tblParts[[#This Row],[FaceAllow_in]])),DefaultFaceAllow_in,N(tblParts[[#This Row],[FaceAllow_in]])),0)</f>
        <v>4.1059999999999999</v>
      </c>
      <c r="K151">
        <f>IFERROR(N(tblParts[[#This Row],[Qty]])*N(tblParts[[#This Row],[RequiredCutLen_in]]),0)</f>
        <v>20.53</v>
      </c>
      <c r="L151" t="str">
        <f>TRIM(tblParts[[#This Row],[Material]])&amp;"|"&amp;TEXT(tblParts[[#This Row],[Diameter_in]],"0.000")</f>
        <v>O1|1.500</v>
      </c>
    </row>
    <row r="152" spans="1:12" x14ac:dyDescent="0.25">
      <c r="A152" t="s">
        <v>530</v>
      </c>
      <c r="B152" t="s">
        <v>105</v>
      </c>
      <c r="C152" t="s">
        <v>15</v>
      </c>
      <c r="D152">
        <v>3.5</v>
      </c>
      <c r="E152">
        <v>43.046999999999997</v>
      </c>
      <c r="F152">
        <v>0.25700000000000001</v>
      </c>
      <c r="G152">
        <v>2</v>
      </c>
      <c r="H152">
        <v>9.6000000000000002E-2</v>
      </c>
      <c r="I152">
        <v>0.14499999999999999</v>
      </c>
      <c r="J152">
        <f>IFERROR(N(tblParts[[#This Row],[FinishLen_in]])+N(tblParts[[#This Row],[ExtraStock_in]])+IF(OR(tblParts[[#This Row],[Kerf_in]]="",ISBLANK(tblParts[[#This Row],[Kerf_in]])),DefaultKerf_in,N(tblParts[[#This Row],[Kerf_in]]))+IF(OR(tblParts[[#This Row],[FaceAllow_in]]="",ISBLANK(tblParts[[#This Row],[FaceAllow_in]])),DefaultFaceAllow_in,N(tblParts[[#This Row],[FaceAllow_in]])),0)</f>
        <v>43.544999999999995</v>
      </c>
      <c r="K152">
        <f>IFERROR(N(tblParts[[#This Row],[Qty]])*N(tblParts[[#This Row],[RequiredCutLen_in]]),0)</f>
        <v>87.089999999999989</v>
      </c>
      <c r="L152" t="str">
        <f>TRIM(tblParts[[#This Row],[Material]])&amp;"|"&amp;TEXT(tblParts[[#This Row],[Diameter_in]],"0.000")</f>
        <v>UHMW|3.500</v>
      </c>
    </row>
    <row r="153" spans="1:12" x14ac:dyDescent="0.25">
      <c r="A153" t="s">
        <v>530</v>
      </c>
      <c r="B153" t="s">
        <v>106</v>
      </c>
      <c r="C153">
        <v>316</v>
      </c>
      <c r="D153">
        <v>1.375</v>
      </c>
      <c r="E153">
        <v>18.850999999999999</v>
      </c>
      <c r="F153">
        <v>0.627</v>
      </c>
      <c r="G153">
        <v>5</v>
      </c>
      <c r="H153">
        <v>8.5000000000000006E-2</v>
      </c>
      <c r="I153">
        <v>0.24099999999999999</v>
      </c>
      <c r="J153">
        <f>IFERROR(N(tblParts[[#This Row],[FinishLen_in]])+N(tblParts[[#This Row],[ExtraStock_in]])+IF(OR(tblParts[[#This Row],[Kerf_in]]="",ISBLANK(tblParts[[#This Row],[Kerf_in]])),DefaultKerf_in,N(tblParts[[#This Row],[Kerf_in]]))+IF(OR(tblParts[[#This Row],[FaceAllow_in]]="",ISBLANK(tblParts[[#This Row],[FaceAllow_in]])),DefaultFaceAllow_in,N(tblParts[[#This Row],[FaceAllow_in]])),0)</f>
        <v>19.803999999999998</v>
      </c>
      <c r="K153">
        <f>IFERROR(N(tblParts[[#This Row],[Qty]])*N(tblParts[[#This Row],[RequiredCutLen_in]]),0)</f>
        <v>99.02</v>
      </c>
      <c r="L153" t="str">
        <f>TRIM(tblParts[[#This Row],[Material]])&amp;"|"&amp;TEXT(tblParts[[#This Row],[Diameter_in]],"0.000")</f>
        <v>316|1.375</v>
      </c>
    </row>
    <row r="154" spans="1:12" x14ac:dyDescent="0.25">
      <c r="A154" t="s">
        <v>530</v>
      </c>
      <c r="B154" t="s">
        <v>107</v>
      </c>
      <c r="C154">
        <v>1018</v>
      </c>
      <c r="D154">
        <v>0.5</v>
      </c>
      <c r="E154">
        <v>3.7490000000000001</v>
      </c>
      <c r="F154">
        <v>0.93500000000000005</v>
      </c>
      <c r="G154">
        <v>1</v>
      </c>
      <c r="H154">
        <v>0.113</v>
      </c>
      <c r="I154">
        <v>0.19800000000000001</v>
      </c>
      <c r="J154">
        <f>IFERROR(N(tblParts[[#This Row],[FinishLen_in]])+N(tblParts[[#This Row],[ExtraStock_in]])+IF(OR(tblParts[[#This Row],[Kerf_in]]="",ISBLANK(tblParts[[#This Row],[Kerf_in]])),DefaultKerf_in,N(tblParts[[#This Row],[Kerf_in]]))+IF(OR(tblParts[[#This Row],[FaceAllow_in]]="",ISBLANK(tblParts[[#This Row],[FaceAllow_in]])),DefaultFaceAllow_in,N(tblParts[[#This Row],[FaceAllow_in]])),0)</f>
        <v>4.995000000000001</v>
      </c>
      <c r="K154">
        <f>IFERROR(N(tblParts[[#This Row],[Qty]])*N(tblParts[[#This Row],[RequiredCutLen_in]]),0)</f>
        <v>4.995000000000001</v>
      </c>
      <c r="L154" t="str">
        <f>TRIM(tblParts[[#This Row],[Material]])&amp;"|"&amp;TEXT(tblParts[[#This Row],[Diameter_in]],"0.000")</f>
        <v>1018|0.500</v>
      </c>
    </row>
    <row r="155" spans="1:12" x14ac:dyDescent="0.25">
      <c r="A155" t="s">
        <v>530</v>
      </c>
      <c r="B155" t="s">
        <v>108</v>
      </c>
      <c r="C155" t="s">
        <v>6</v>
      </c>
      <c r="D155">
        <v>1.625</v>
      </c>
      <c r="E155">
        <v>24.555</v>
      </c>
      <c r="F155">
        <v>0.97899999999999998</v>
      </c>
      <c r="G155">
        <v>6</v>
      </c>
      <c r="H155">
        <v>0.115</v>
      </c>
      <c r="I155">
        <v>8.8999999999999996E-2</v>
      </c>
      <c r="J155">
        <f>IFERROR(N(tblParts[[#This Row],[FinishLen_in]])+N(tblParts[[#This Row],[ExtraStock_in]])+IF(OR(tblParts[[#This Row],[Kerf_in]]="",ISBLANK(tblParts[[#This Row],[Kerf_in]])),DefaultKerf_in,N(tblParts[[#This Row],[Kerf_in]]))+IF(OR(tblParts[[#This Row],[FaceAllow_in]]="",ISBLANK(tblParts[[#This Row],[FaceAllow_in]])),DefaultFaceAllow_in,N(tblParts[[#This Row],[FaceAllow_in]])),0)</f>
        <v>25.737999999999996</v>
      </c>
      <c r="K155">
        <f>IFERROR(N(tblParts[[#This Row],[Qty]])*N(tblParts[[#This Row],[RequiredCutLen_in]]),0)</f>
        <v>154.42799999999997</v>
      </c>
      <c r="L155" t="str">
        <f>TRIM(tblParts[[#This Row],[Material]])&amp;"|"&amp;TEXT(tblParts[[#This Row],[Diameter_in]],"0.000")</f>
        <v>D2|1.625</v>
      </c>
    </row>
    <row r="156" spans="1:12" x14ac:dyDescent="0.25">
      <c r="A156" t="s">
        <v>530</v>
      </c>
      <c r="B156" t="s">
        <v>109</v>
      </c>
      <c r="C156" t="s">
        <v>3</v>
      </c>
      <c r="D156">
        <v>0.625</v>
      </c>
      <c r="E156">
        <v>10</v>
      </c>
      <c r="F156">
        <v>0.84599999999999997</v>
      </c>
      <c r="G156">
        <v>4</v>
      </c>
      <c r="I156">
        <v>0.24299999999999999</v>
      </c>
      <c r="J156">
        <f>IFERROR(N(tblParts[[#This Row],[FinishLen_in]])+N(tblParts[[#This Row],[ExtraStock_in]])+IF(OR(tblParts[[#This Row],[Kerf_in]]="",ISBLANK(tblParts[[#This Row],[Kerf_in]])),DefaultKerf_in,N(tblParts[[#This Row],[Kerf_in]]))+IF(OR(tblParts[[#This Row],[FaceAllow_in]]="",ISBLANK(tblParts[[#This Row],[FaceAllow_in]])),DefaultFaceAllow_in,N(tblParts[[#This Row],[FaceAllow_in]])),0)</f>
        <v>11.214</v>
      </c>
      <c r="K156">
        <f>IFERROR(N(tblParts[[#This Row],[Qty]])*N(tblParts[[#This Row],[RequiredCutLen_in]]),0)</f>
        <v>44.856000000000002</v>
      </c>
      <c r="L156" t="str">
        <f>TRIM(tblParts[[#This Row],[Material]])&amp;"|"&amp;TEXT(tblParts[[#This Row],[Diameter_in]],"0.000")</f>
        <v>12L14|0.625</v>
      </c>
    </row>
    <row r="157" spans="1:12" x14ac:dyDescent="0.25">
      <c r="A157" t="s">
        <v>530</v>
      </c>
      <c r="B157" t="s">
        <v>110</v>
      </c>
      <c r="C157" t="s">
        <v>4</v>
      </c>
      <c r="D157">
        <v>1.125</v>
      </c>
      <c r="E157">
        <v>36.345999999999997</v>
      </c>
      <c r="F157">
        <v>0.97099999999999997</v>
      </c>
      <c r="G157">
        <v>4</v>
      </c>
      <c r="H157">
        <v>6.3E-2</v>
      </c>
      <c r="I157">
        <v>0.185</v>
      </c>
      <c r="J157">
        <f>IFERROR(N(tblParts[[#This Row],[FinishLen_in]])+N(tblParts[[#This Row],[ExtraStock_in]])+IF(OR(tblParts[[#This Row],[Kerf_in]]="",ISBLANK(tblParts[[#This Row],[Kerf_in]])),DefaultKerf_in,N(tblParts[[#This Row],[Kerf_in]]))+IF(OR(tblParts[[#This Row],[FaceAllow_in]]="",ISBLANK(tblParts[[#This Row],[FaceAllow_in]])),DefaultFaceAllow_in,N(tblParts[[#This Row],[FaceAllow_in]])),0)</f>
        <v>37.564999999999998</v>
      </c>
      <c r="K157">
        <f>IFERROR(N(tblParts[[#This Row],[Qty]])*N(tblParts[[#This Row],[RequiredCutLen_in]]),0)</f>
        <v>150.26</v>
      </c>
      <c r="L157" t="str">
        <f>TRIM(tblParts[[#This Row],[Material]])&amp;"|"&amp;TEXT(tblParts[[#This Row],[Diameter_in]],"0.000")</f>
        <v>17-4PH|1.125</v>
      </c>
    </row>
    <row r="158" spans="1:12" x14ac:dyDescent="0.25">
      <c r="A158" t="s">
        <v>530</v>
      </c>
      <c r="B158" t="s">
        <v>111</v>
      </c>
      <c r="C158">
        <v>1018</v>
      </c>
      <c r="D158">
        <v>0.5</v>
      </c>
      <c r="E158">
        <v>26.885000000000002</v>
      </c>
      <c r="F158">
        <v>0.64800000000000002</v>
      </c>
      <c r="G158">
        <v>2</v>
      </c>
      <c r="H158">
        <v>9.5000000000000001E-2</v>
      </c>
      <c r="J158">
        <f>IFERROR(N(tblParts[[#This Row],[FinishLen_in]])+N(tblParts[[#This Row],[ExtraStock_in]])+IF(OR(tblParts[[#This Row],[Kerf_in]]="",ISBLANK(tblParts[[#This Row],[Kerf_in]])),DefaultKerf_in,N(tblParts[[#This Row],[Kerf_in]]))+IF(OR(tblParts[[#This Row],[FaceAllow_in]]="",ISBLANK(tblParts[[#This Row],[FaceAllow_in]])),DefaultFaceAllow_in,N(tblParts[[#This Row],[FaceAllow_in]])),0)</f>
        <v>27.753</v>
      </c>
      <c r="K158">
        <f>IFERROR(N(tblParts[[#This Row],[Qty]])*N(tblParts[[#This Row],[RequiredCutLen_in]]),0)</f>
        <v>55.506</v>
      </c>
      <c r="L158" t="str">
        <f>TRIM(tblParts[[#This Row],[Material]])&amp;"|"&amp;TEXT(tblParts[[#This Row],[Diameter_in]],"0.000")</f>
        <v>1018|0.500</v>
      </c>
    </row>
    <row r="159" spans="1:12" x14ac:dyDescent="0.25">
      <c r="A159" t="s">
        <v>530</v>
      </c>
      <c r="B159" t="s">
        <v>112</v>
      </c>
      <c r="C159">
        <v>8620</v>
      </c>
      <c r="D159">
        <v>1</v>
      </c>
      <c r="E159">
        <v>37.930999999999997</v>
      </c>
      <c r="F159">
        <v>0.52500000000000002</v>
      </c>
      <c r="G159">
        <v>1</v>
      </c>
      <c r="I159">
        <v>0.22900000000000001</v>
      </c>
      <c r="J159">
        <f>IFERROR(N(tblParts[[#This Row],[FinishLen_in]])+N(tblParts[[#This Row],[ExtraStock_in]])+IF(OR(tblParts[[#This Row],[Kerf_in]]="",ISBLANK(tblParts[[#This Row],[Kerf_in]])),DefaultKerf_in,N(tblParts[[#This Row],[Kerf_in]]))+IF(OR(tblParts[[#This Row],[FaceAllow_in]]="",ISBLANK(tblParts[[#This Row],[FaceAllow_in]])),DefaultFaceAllow_in,N(tblParts[[#This Row],[FaceAllow_in]])),0)</f>
        <v>38.809999999999995</v>
      </c>
      <c r="K159">
        <f>IFERROR(N(tblParts[[#This Row],[Qty]])*N(tblParts[[#This Row],[RequiredCutLen_in]]),0)</f>
        <v>38.809999999999995</v>
      </c>
      <c r="L159" t="str">
        <f>TRIM(tblParts[[#This Row],[Material]])&amp;"|"&amp;TEXT(tblParts[[#This Row],[Diameter_in]],"0.000")</f>
        <v>8620|1.000</v>
      </c>
    </row>
    <row r="160" spans="1:12" x14ac:dyDescent="0.25">
      <c r="A160" t="s">
        <v>530</v>
      </c>
      <c r="B160" t="s">
        <v>113</v>
      </c>
      <c r="C160">
        <v>8620</v>
      </c>
      <c r="D160">
        <v>1</v>
      </c>
      <c r="E160">
        <v>46.067999999999998</v>
      </c>
      <c r="F160">
        <v>0.78900000000000003</v>
      </c>
      <c r="G160">
        <v>6</v>
      </c>
      <c r="H160">
        <v>0.111</v>
      </c>
      <c r="I160">
        <v>9.8000000000000004E-2</v>
      </c>
      <c r="J160">
        <f>IFERROR(N(tblParts[[#This Row],[FinishLen_in]])+N(tblParts[[#This Row],[ExtraStock_in]])+IF(OR(tblParts[[#This Row],[Kerf_in]]="",ISBLANK(tblParts[[#This Row],[Kerf_in]])),DefaultKerf_in,N(tblParts[[#This Row],[Kerf_in]]))+IF(OR(tblParts[[#This Row],[FaceAllow_in]]="",ISBLANK(tblParts[[#This Row],[FaceAllow_in]])),DefaultFaceAllow_in,N(tblParts[[#This Row],[FaceAllow_in]])),0)</f>
        <v>47.065999999999995</v>
      </c>
      <c r="K160">
        <f>IFERROR(N(tblParts[[#This Row],[Qty]])*N(tblParts[[#This Row],[RequiredCutLen_in]]),0)</f>
        <v>282.39599999999996</v>
      </c>
      <c r="L160" t="str">
        <f>TRIM(tblParts[[#This Row],[Material]])&amp;"|"&amp;TEXT(tblParts[[#This Row],[Diameter_in]],"0.000")</f>
        <v>8620|1.000</v>
      </c>
    </row>
    <row r="161" spans="1:12" x14ac:dyDescent="0.25">
      <c r="A161" t="s">
        <v>530</v>
      </c>
      <c r="B161" t="s">
        <v>114</v>
      </c>
      <c r="C161" t="s">
        <v>15</v>
      </c>
      <c r="D161">
        <v>3.5</v>
      </c>
      <c r="E161">
        <v>6.367</v>
      </c>
      <c r="F161">
        <v>0.84299999999999997</v>
      </c>
      <c r="G161">
        <v>1</v>
      </c>
      <c r="H161">
        <v>0.115</v>
      </c>
      <c r="I161">
        <v>0.13200000000000001</v>
      </c>
      <c r="J161">
        <f>IFERROR(N(tblParts[[#This Row],[FinishLen_in]])+N(tblParts[[#This Row],[ExtraStock_in]])+IF(OR(tblParts[[#This Row],[Kerf_in]]="",ISBLANK(tblParts[[#This Row],[Kerf_in]])),DefaultKerf_in,N(tblParts[[#This Row],[Kerf_in]]))+IF(OR(tblParts[[#This Row],[FaceAllow_in]]="",ISBLANK(tblParts[[#This Row],[FaceAllow_in]])),DefaultFaceAllow_in,N(tblParts[[#This Row],[FaceAllow_in]])),0)</f>
        <v>7.4569999999999999</v>
      </c>
      <c r="K161">
        <f>IFERROR(N(tblParts[[#This Row],[Qty]])*N(tblParts[[#This Row],[RequiredCutLen_in]]),0)</f>
        <v>7.4569999999999999</v>
      </c>
      <c r="L161" t="str">
        <f>TRIM(tblParts[[#This Row],[Material]])&amp;"|"&amp;TEXT(tblParts[[#This Row],[Diameter_in]],"0.000")</f>
        <v>UHMW|3.500</v>
      </c>
    </row>
    <row r="162" spans="1:12" x14ac:dyDescent="0.25">
      <c r="A162" t="s">
        <v>530</v>
      </c>
      <c r="B162" t="s">
        <v>115</v>
      </c>
      <c r="C162" t="s">
        <v>4</v>
      </c>
      <c r="D162">
        <v>1.125</v>
      </c>
      <c r="E162">
        <v>38.546999999999997</v>
      </c>
      <c r="F162">
        <v>0.51700000000000002</v>
      </c>
      <c r="G162">
        <v>5</v>
      </c>
      <c r="H162">
        <v>0.10299999999999999</v>
      </c>
      <c r="I162">
        <v>9.0999999999999998E-2</v>
      </c>
      <c r="J162">
        <f>IFERROR(N(tblParts[[#This Row],[FinishLen_in]])+N(tblParts[[#This Row],[ExtraStock_in]])+IF(OR(tblParts[[#This Row],[Kerf_in]]="",ISBLANK(tblParts[[#This Row],[Kerf_in]])),DefaultKerf_in,N(tblParts[[#This Row],[Kerf_in]]))+IF(OR(tblParts[[#This Row],[FaceAllow_in]]="",ISBLANK(tblParts[[#This Row],[FaceAllow_in]])),DefaultFaceAllow_in,N(tblParts[[#This Row],[FaceAllow_in]])),0)</f>
        <v>39.258000000000003</v>
      </c>
      <c r="K162">
        <f>IFERROR(N(tblParts[[#This Row],[Qty]])*N(tblParts[[#This Row],[RequiredCutLen_in]]),0)</f>
        <v>196.29000000000002</v>
      </c>
      <c r="L162" t="str">
        <f>TRIM(tblParts[[#This Row],[Material]])&amp;"|"&amp;TEXT(tblParts[[#This Row],[Diameter_in]],"0.000")</f>
        <v>17-4PH|1.125</v>
      </c>
    </row>
    <row r="163" spans="1:12" x14ac:dyDescent="0.25">
      <c r="A163" t="s">
        <v>530</v>
      </c>
      <c r="B163" t="s">
        <v>116</v>
      </c>
      <c r="C163" t="s">
        <v>5</v>
      </c>
      <c r="D163">
        <v>1.5</v>
      </c>
      <c r="E163">
        <v>45.817999999999998</v>
      </c>
      <c r="F163">
        <v>0.46300000000000002</v>
      </c>
      <c r="G163">
        <v>2</v>
      </c>
      <c r="H163">
        <v>0.11899999999999999</v>
      </c>
      <c r="J163">
        <f>IFERROR(N(tblParts[[#This Row],[FinishLen_in]])+N(tblParts[[#This Row],[ExtraStock_in]])+IF(OR(tblParts[[#This Row],[Kerf_in]]="",ISBLANK(tblParts[[#This Row],[Kerf_in]])),DefaultKerf_in,N(tblParts[[#This Row],[Kerf_in]]))+IF(OR(tblParts[[#This Row],[FaceAllow_in]]="",ISBLANK(tblParts[[#This Row],[FaceAllow_in]])),DefaultFaceAllow_in,N(tblParts[[#This Row],[FaceAllow_in]])),0)</f>
        <v>46.524999999999999</v>
      </c>
      <c r="K163">
        <f>IFERROR(N(tblParts[[#This Row],[Qty]])*N(tblParts[[#This Row],[RequiredCutLen_in]]),0)</f>
        <v>93.05</v>
      </c>
      <c r="L163" t="str">
        <f>TRIM(tblParts[[#This Row],[Material]])&amp;"|"&amp;TEXT(tblParts[[#This Row],[Diameter_in]],"0.000")</f>
        <v>O1|1.500</v>
      </c>
    </row>
    <row r="164" spans="1:12" x14ac:dyDescent="0.25">
      <c r="A164" t="s">
        <v>530</v>
      </c>
      <c r="B164" t="s">
        <v>117</v>
      </c>
      <c r="C164" t="s">
        <v>15</v>
      </c>
      <c r="D164">
        <v>3.5</v>
      </c>
      <c r="E164">
        <v>21.206</v>
      </c>
      <c r="F164">
        <v>0.624</v>
      </c>
      <c r="G164">
        <v>6</v>
      </c>
      <c r="I164">
        <v>0.106</v>
      </c>
      <c r="J164">
        <f>IFERROR(N(tblParts[[#This Row],[FinishLen_in]])+N(tblParts[[#This Row],[ExtraStock_in]])+IF(OR(tblParts[[#This Row],[Kerf_in]]="",ISBLANK(tblParts[[#This Row],[Kerf_in]])),DefaultKerf_in,N(tblParts[[#This Row],[Kerf_in]]))+IF(OR(tblParts[[#This Row],[FaceAllow_in]]="",ISBLANK(tblParts[[#This Row],[FaceAllow_in]])),DefaultFaceAllow_in,N(tblParts[[#This Row],[FaceAllow_in]])),0)</f>
        <v>22.061</v>
      </c>
      <c r="K164">
        <f>IFERROR(N(tblParts[[#This Row],[Qty]])*N(tblParts[[#This Row],[RequiredCutLen_in]]),0)</f>
        <v>132.36599999999999</v>
      </c>
      <c r="L164" t="str">
        <f>TRIM(tblParts[[#This Row],[Material]])&amp;"|"&amp;TEXT(tblParts[[#This Row],[Diameter_in]],"0.000")</f>
        <v>UHMW|3.500</v>
      </c>
    </row>
    <row r="165" spans="1:12" x14ac:dyDescent="0.25">
      <c r="A165" t="s">
        <v>530</v>
      </c>
      <c r="B165" t="s">
        <v>118</v>
      </c>
      <c r="C165">
        <v>316</v>
      </c>
      <c r="D165">
        <v>1.375</v>
      </c>
      <c r="E165">
        <v>10.667</v>
      </c>
      <c r="F165">
        <v>0.22600000000000001</v>
      </c>
      <c r="G165">
        <v>6</v>
      </c>
      <c r="I165">
        <v>0.114</v>
      </c>
      <c r="J165">
        <f>IFERROR(N(tblParts[[#This Row],[FinishLen_in]])+N(tblParts[[#This Row],[ExtraStock_in]])+IF(OR(tblParts[[#This Row],[Kerf_in]]="",ISBLANK(tblParts[[#This Row],[Kerf_in]])),DefaultKerf_in,N(tblParts[[#This Row],[Kerf_in]]))+IF(OR(tblParts[[#This Row],[FaceAllow_in]]="",ISBLANK(tblParts[[#This Row],[FaceAllow_in]])),DefaultFaceAllow_in,N(tblParts[[#This Row],[FaceAllow_in]])),0)</f>
        <v>11.132000000000001</v>
      </c>
      <c r="K165">
        <f>IFERROR(N(tblParts[[#This Row],[Qty]])*N(tblParts[[#This Row],[RequiredCutLen_in]]),0)</f>
        <v>66.792000000000002</v>
      </c>
      <c r="L165" t="str">
        <f>TRIM(tblParts[[#This Row],[Material]])&amp;"|"&amp;TEXT(tblParts[[#This Row],[Diameter_in]],"0.000")</f>
        <v>316|1.375</v>
      </c>
    </row>
    <row r="166" spans="1:12" x14ac:dyDescent="0.25">
      <c r="A166" t="s">
        <v>530</v>
      </c>
      <c r="B166" t="s">
        <v>119</v>
      </c>
      <c r="C166" t="s">
        <v>9</v>
      </c>
      <c r="D166">
        <v>2</v>
      </c>
      <c r="E166">
        <v>4.1029999999999998</v>
      </c>
      <c r="F166">
        <v>0.38</v>
      </c>
      <c r="G166">
        <v>3</v>
      </c>
      <c r="I166">
        <v>0.248</v>
      </c>
      <c r="J166">
        <f>IFERROR(N(tblParts[[#This Row],[FinishLen_in]])+N(tblParts[[#This Row],[ExtraStock_in]])+IF(OR(tblParts[[#This Row],[Kerf_in]]="",ISBLANK(tblParts[[#This Row],[Kerf_in]])),DefaultKerf_in,N(tblParts[[#This Row],[Kerf_in]]))+IF(OR(tblParts[[#This Row],[FaceAllow_in]]="",ISBLANK(tblParts[[#This Row],[FaceAllow_in]])),DefaultFaceAllow_in,N(tblParts[[#This Row],[FaceAllow_in]])),0)</f>
        <v>4.8559999999999999</v>
      </c>
      <c r="K166">
        <f>IFERROR(N(tblParts[[#This Row],[Qty]])*N(tblParts[[#This Row],[RequiredCutLen_in]]),0)</f>
        <v>14.568</v>
      </c>
      <c r="L166" t="str">
        <f>TRIM(tblParts[[#This Row],[Material]])&amp;"|"&amp;TEXT(tblParts[[#This Row],[Diameter_in]],"0.000")</f>
        <v>Brass360|2.000</v>
      </c>
    </row>
    <row r="167" spans="1:12" x14ac:dyDescent="0.25">
      <c r="A167" t="s">
        <v>530</v>
      </c>
      <c r="B167" t="s">
        <v>120</v>
      </c>
      <c r="C167" t="s">
        <v>12</v>
      </c>
      <c r="D167">
        <v>2.5</v>
      </c>
      <c r="E167">
        <v>17.388999999999999</v>
      </c>
      <c r="F167">
        <v>0.25600000000000001</v>
      </c>
      <c r="G167">
        <v>5</v>
      </c>
      <c r="I167">
        <v>0.215</v>
      </c>
      <c r="J167">
        <f>IFERROR(N(tblParts[[#This Row],[FinishLen_in]])+N(tblParts[[#This Row],[ExtraStock_in]])+IF(OR(tblParts[[#This Row],[Kerf_in]]="",ISBLANK(tblParts[[#This Row],[Kerf_in]])),DefaultKerf_in,N(tblParts[[#This Row],[Kerf_in]]))+IF(OR(tblParts[[#This Row],[FaceAllow_in]]="",ISBLANK(tblParts[[#This Row],[FaceAllow_in]])),DefaultFaceAllow_in,N(tblParts[[#This Row],[FaceAllow_in]])),0)</f>
        <v>17.984999999999999</v>
      </c>
      <c r="K167">
        <f>IFERROR(N(tblParts[[#This Row],[Qty]])*N(tblParts[[#This Row],[RequiredCutLen_in]]),0)</f>
        <v>89.924999999999997</v>
      </c>
      <c r="L167" t="str">
        <f>TRIM(tblParts[[#This Row],[Material]])&amp;"|"&amp;TEXT(tblParts[[#This Row],[Diameter_in]],"0.000")</f>
        <v>Ti-6Al-4V|2.500</v>
      </c>
    </row>
    <row r="168" spans="1:12" x14ac:dyDescent="0.25">
      <c r="A168" t="s">
        <v>530</v>
      </c>
      <c r="B168" t="s">
        <v>121</v>
      </c>
      <c r="C168" t="s">
        <v>5</v>
      </c>
      <c r="D168">
        <v>1.5</v>
      </c>
      <c r="E168">
        <v>11.118</v>
      </c>
      <c r="F168">
        <v>0.80600000000000005</v>
      </c>
      <c r="G168">
        <v>2</v>
      </c>
      <c r="H168">
        <v>0.11899999999999999</v>
      </c>
      <c r="J168">
        <f>IFERROR(N(tblParts[[#This Row],[FinishLen_in]])+N(tblParts[[#This Row],[ExtraStock_in]])+IF(OR(tblParts[[#This Row],[Kerf_in]]="",ISBLANK(tblParts[[#This Row],[Kerf_in]])),DefaultKerf_in,N(tblParts[[#This Row],[Kerf_in]]))+IF(OR(tblParts[[#This Row],[FaceAllow_in]]="",ISBLANK(tblParts[[#This Row],[FaceAllow_in]])),DefaultFaceAllow_in,N(tblParts[[#This Row],[FaceAllow_in]])),0)</f>
        <v>12.167999999999999</v>
      </c>
      <c r="K168">
        <f>IFERROR(N(tblParts[[#This Row],[Qty]])*N(tblParts[[#This Row],[RequiredCutLen_in]]),0)</f>
        <v>24.335999999999999</v>
      </c>
      <c r="L168" t="str">
        <f>TRIM(tblParts[[#This Row],[Material]])&amp;"|"&amp;TEXT(tblParts[[#This Row],[Diameter_in]],"0.000")</f>
        <v>O1|1.500</v>
      </c>
    </row>
    <row r="169" spans="1:12" x14ac:dyDescent="0.25">
      <c r="A169" t="s">
        <v>530</v>
      </c>
      <c r="B169" t="s">
        <v>122</v>
      </c>
      <c r="C169">
        <v>304</v>
      </c>
      <c r="D169">
        <v>1.25</v>
      </c>
      <c r="E169">
        <v>33.719000000000001</v>
      </c>
      <c r="F169">
        <v>0.91600000000000004</v>
      </c>
      <c r="G169">
        <v>3</v>
      </c>
      <c r="H169">
        <v>0.108</v>
      </c>
      <c r="J169">
        <f>IFERROR(N(tblParts[[#This Row],[FinishLen_in]])+N(tblParts[[#This Row],[ExtraStock_in]])+IF(OR(tblParts[[#This Row],[Kerf_in]]="",ISBLANK(tblParts[[#This Row],[Kerf_in]])),DefaultKerf_in,N(tblParts[[#This Row],[Kerf_in]]))+IF(OR(tblParts[[#This Row],[FaceAllow_in]]="",ISBLANK(tblParts[[#This Row],[FaceAllow_in]])),DefaultFaceAllow_in,N(tblParts[[#This Row],[FaceAllow_in]])),0)</f>
        <v>34.867999999999995</v>
      </c>
      <c r="K169">
        <f>IFERROR(N(tblParts[[#This Row],[Qty]])*N(tblParts[[#This Row],[RequiredCutLen_in]]),0)</f>
        <v>104.60399999999998</v>
      </c>
      <c r="L169" t="str">
        <f>TRIM(tblParts[[#This Row],[Material]])&amp;"|"&amp;TEXT(tblParts[[#This Row],[Diameter_in]],"0.000")</f>
        <v>304|1.250</v>
      </c>
    </row>
    <row r="170" spans="1:12" x14ac:dyDescent="0.25">
      <c r="A170" t="s">
        <v>530</v>
      </c>
      <c r="B170" t="s">
        <v>123</v>
      </c>
      <c r="C170" t="s">
        <v>3</v>
      </c>
      <c r="D170">
        <v>0.625</v>
      </c>
      <c r="E170">
        <v>33.756</v>
      </c>
      <c r="F170">
        <v>0.89800000000000002</v>
      </c>
      <c r="G170">
        <v>6</v>
      </c>
      <c r="H170">
        <v>7.2999999999999995E-2</v>
      </c>
      <c r="I170">
        <v>0.192</v>
      </c>
      <c r="J170">
        <f>IFERROR(N(tblParts[[#This Row],[FinishLen_in]])+N(tblParts[[#This Row],[ExtraStock_in]])+IF(OR(tblParts[[#This Row],[Kerf_in]]="",ISBLANK(tblParts[[#This Row],[Kerf_in]])),DefaultKerf_in,N(tblParts[[#This Row],[Kerf_in]]))+IF(OR(tblParts[[#This Row],[FaceAllow_in]]="",ISBLANK(tblParts[[#This Row],[FaceAllow_in]])),DefaultFaceAllow_in,N(tblParts[[#This Row],[FaceAllow_in]])),0)</f>
        <v>34.919000000000004</v>
      </c>
      <c r="K170">
        <f>IFERROR(N(tblParts[[#This Row],[Qty]])*N(tblParts[[#This Row],[RequiredCutLen_in]]),0)</f>
        <v>209.51400000000001</v>
      </c>
      <c r="L170" t="str">
        <f>TRIM(tblParts[[#This Row],[Material]])&amp;"|"&amp;TEXT(tblParts[[#This Row],[Diameter_in]],"0.000")</f>
        <v>12L14|0.625</v>
      </c>
    </row>
    <row r="171" spans="1:12" x14ac:dyDescent="0.25">
      <c r="A171" t="s">
        <v>530</v>
      </c>
      <c r="B171" t="s">
        <v>124</v>
      </c>
      <c r="C171">
        <v>4340</v>
      </c>
      <c r="D171">
        <v>0.875</v>
      </c>
      <c r="E171">
        <v>46.363999999999997</v>
      </c>
      <c r="F171">
        <v>0.63600000000000001</v>
      </c>
      <c r="G171">
        <v>4</v>
      </c>
      <c r="H171">
        <v>7.6999999999999999E-2</v>
      </c>
      <c r="J171">
        <f>IFERROR(N(tblParts[[#This Row],[FinishLen_in]])+N(tblParts[[#This Row],[ExtraStock_in]])+IF(OR(tblParts[[#This Row],[Kerf_in]]="",ISBLANK(tblParts[[#This Row],[Kerf_in]])),DefaultKerf_in,N(tblParts[[#This Row],[Kerf_in]]))+IF(OR(tblParts[[#This Row],[FaceAllow_in]]="",ISBLANK(tblParts[[#This Row],[FaceAllow_in]])),DefaultFaceAllow_in,N(tblParts[[#This Row],[FaceAllow_in]])),0)</f>
        <v>47.201999999999998</v>
      </c>
      <c r="K171">
        <f>IFERROR(N(tblParts[[#This Row],[Qty]])*N(tblParts[[#This Row],[RequiredCutLen_in]]),0)</f>
        <v>188.80799999999999</v>
      </c>
      <c r="L171" t="str">
        <f>TRIM(tblParts[[#This Row],[Material]])&amp;"|"&amp;TEXT(tblParts[[#This Row],[Diameter_in]],"0.000")</f>
        <v>4340|0.875</v>
      </c>
    </row>
    <row r="172" spans="1:12" x14ac:dyDescent="0.25">
      <c r="A172" t="s">
        <v>530</v>
      </c>
      <c r="B172" t="s">
        <v>125</v>
      </c>
      <c r="C172" t="s">
        <v>3</v>
      </c>
      <c r="D172">
        <v>0.625</v>
      </c>
      <c r="E172">
        <v>44.058999999999997</v>
      </c>
      <c r="F172">
        <v>0.182</v>
      </c>
      <c r="G172">
        <v>5</v>
      </c>
      <c r="H172">
        <v>7.8E-2</v>
      </c>
      <c r="I172">
        <v>0.155</v>
      </c>
      <c r="J172">
        <f>IFERROR(N(tblParts[[#This Row],[FinishLen_in]])+N(tblParts[[#This Row],[ExtraStock_in]])+IF(OR(tblParts[[#This Row],[Kerf_in]]="",ISBLANK(tblParts[[#This Row],[Kerf_in]])),DefaultKerf_in,N(tblParts[[#This Row],[Kerf_in]]))+IF(OR(tblParts[[#This Row],[FaceAllow_in]]="",ISBLANK(tblParts[[#This Row],[FaceAllow_in]])),DefaultFaceAllow_in,N(tblParts[[#This Row],[FaceAllow_in]])),0)</f>
        <v>44.474000000000004</v>
      </c>
      <c r="K172">
        <f>IFERROR(N(tblParts[[#This Row],[Qty]])*N(tblParts[[#This Row],[RequiredCutLen_in]]),0)</f>
        <v>222.37</v>
      </c>
      <c r="L172" t="str">
        <f>TRIM(tblParts[[#This Row],[Material]])&amp;"|"&amp;TEXT(tblParts[[#This Row],[Diameter_in]],"0.000")</f>
        <v>12L14|0.625</v>
      </c>
    </row>
    <row r="173" spans="1:12" x14ac:dyDescent="0.25">
      <c r="A173" t="s">
        <v>530</v>
      </c>
      <c r="B173" t="s">
        <v>126</v>
      </c>
      <c r="C173" t="s">
        <v>6</v>
      </c>
      <c r="D173">
        <v>1.625</v>
      </c>
      <c r="E173">
        <v>23.428999999999998</v>
      </c>
      <c r="F173">
        <v>0.67800000000000005</v>
      </c>
      <c r="G173">
        <v>4</v>
      </c>
      <c r="H173">
        <v>6.7000000000000004E-2</v>
      </c>
      <c r="I173">
        <v>0.14099999999999999</v>
      </c>
      <c r="J173">
        <f>IFERROR(N(tblParts[[#This Row],[FinishLen_in]])+N(tblParts[[#This Row],[ExtraStock_in]])+IF(OR(tblParts[[#This Row],[Kerf_in]]="",ISBLANK(tblParts[[#This Row],[Kerf_in]])),DefaultKerf_in,N(tblParts[[#This Row],[Kerf_in]]))+IF(OR(tblParts[[#This Row],[FaceAllow_in]]="",ISBLANK(tblParts[[#This Row],[FaceAllow_in]])),DefaultFaceAllow_in,N(tblParts[[#This Row],[FaceAllow_in]])),0)</f>
        <v>24.314999999999998</v>
      </c>
      <c r="K173">
        <f>IFERROR(N(tblParts[[#This Row],[Qty]])*N(tblParts[[#This Row],[RequiredCutLen_in]]),0)</f>
        <v>97.259999999999991</v>
      </c>
      <c r="L173" t="str">
        <f>TRIM(tblParts[[#This Row],[Material]])&amp;"|"&amp;TEXT(tblParts[[#This Row],[Diameter_in]],"0.000")</f>
        <v>D2|1.625</v>
      </c>
    </row>
    <row r="174" spans="1:12" x14ac:dyDescent="0.25">
      <c r="A174" t="s">
        <v>530</v>
      </c>
      <c r="B174" t="s">
        <v>127</v>
      </c>
      <c r="C174">
        <v>4140</v>
      </c>
      <c r="D174">
        <v>0.75</v>
      </c>
      <c r="E174">
        <v>23.526</v>
      </c>
      <c r="F174">
        <v>0.61799999999999999</v>
      </c>
      <c r="G174">
        <v>5</v>
      </c>
      <c r="H174">
        <v>0.113</v>
      </c>
      <c r="I174">
        <v>0.216</v>
      </c>
      <c r="J174">
        <f>IFERROR(N(tblParts[[#This Row],[FinishLen_in]])+N(tblParts[[#This Row],[ExtraStock_in]])+IF(OR(tblParts[[#This Row],[Kerf_in]]="",ISBLANK(tblParts[[#This Row],[Kerf_in]])),DefaultKerf_in,N(tblParts[[#This Row],[Kerf_in]]))+IF(OR(tblParts[[#This Row],[FaceAllow_in]]="",ISBLANK(tblParts[[#This Row],[FaceAllow_in]])),DefaultFaceAllow_in,N(tblParts[[#This Row],[FaceAllow_in]])),0)</f>
        <v>24.472999999999999</v>
      </c>
      <c r="K174">
        <f>IFERROR(N(tblParts[[#This Row],[Qty]])*N(tblParts[[#This Row],[RequiredCutLen_in]]),0)</f>
        <v>122.36499999999999</v>
      </c>
      <c r="L174" t="str">
        <f>TRIM(tblParts[[#This Row],[Material]])&amp;"|"&amp;TEXT(tblParts[[#This Row],[Diameter_in]],"0.000")</f>
        <v>4140|0.750</v>
      </c>
    </row>
    <row r="175" spans="1:12" x14ac:dyDescent="0.25">
      <c r="A175" t="s">
        <v>530</v>
      </c>
      <c r="B175" t="s">
        <v>128</v>
      </c>
      <c r="C175" t="s">
        <v>8</v>
      </c>
      <c r="D175">
        <v>1.875</v>
      </c>
      <c r="E175">
        <v>10.771000000000001</v>
      </c>
      <c r="F175">
        <v>0.58599999999999997</v>
      </c>
      <c r="G175">
        <v>2</v>
      </c>
      <c r="H175">
        <v>9.6000000000000002E-2</v>
      </c>
      <c r="J175">
        <f>IFERROR(N(tblParts[[#This Row],[FinishLen_in]])+N(tblParts[[#This Row],[ExtraStock_in]])+IF(OR(tblParts[[#This Row],[Kerf_in]]="",ISBLANK(tblParts[[#This Row],[Kerf_in]])),DefaultKerf_in,N(tblParts[[#This Row],[Kerf_in]]))+IF(OR(tblParts[[#This Row],[FaceAllow_in]]="",ISBLANK(tblParts[[#This Row],[FaceAllow_in]])),DefaultFaceAllow_in,N(tblParts[[#This Row],[FaceAllow_in]])),0)</f>
        <v>11.578000000000001</v>
      </c>
      <c r="K175">
        <f>IFERROR(N(tblParts[[#This Row],[Qty]])*N(tblParts[[#This Row],[RequiredCutLen_in]]),0)</f>
        <v>23.156000000000002</v>
      </c>
      <c r="L175" t="str">
        <f>TRIM(tblParts[[#This Row],[Material]])&amp;"|"&amp;TEXT(tblParts[[#This Row],[Diameter_in]],"0.000")</f>
        <v>A2|1.875</v>
      </c>
    </row>
    <row r="176" spans="1:12" x14ac:dyDescent="0.25">
      <c r="A176" t="s">
        <v>530</v>
      </c>
      <c r="B176" t="s">
        <v>129</v>
      </c>
      <c r="C176" t="s">
        <v>9</v>
      </c>
      <c r="D176">
        <v>2</v>
      </c>
      <c r="E176">
        <v>39.716000000000001</v>
      </c>
      <c r="F176">
        <v>0.56699999999999995</v>
      </c>
      <c r="G176">
        <v>3</v>
      </c>
      <c r="H176">
        <v>6.2E-2</v>
      </c>
      <c r="I176">
        <v>0.17799999999999999</v>
      </c>
      <c r="J176">
        <f>IFERROR(N(tblParts[[#This Row],[FinishLen_in]])+N(tblParts[[#This Row],[ExtraStock_in]])+IF(OR(tblParts[[#This Row],[Kerf_in]]="",ISBLANK(tblParts[[#This Row],[Kerf_in]])),DefaultKerf_in,N(tblParts[[#This Row],[Kerf_in]]))+IF(OR(tblParts[[#This Row],[FaceAllow_in]]="",ISBLANK(tblParts[[#This Row],[FaceAllow_in]])),DefaultFaceAllow_in,N(tblParts[[#This Row],[FaceAllow_in]])),0)</f>
        <v>40.522999999999996</v>
      </c>
      <c r="K176">
        <f>IFERROR(N(tblParts[[#This Row],[Qty]])*N(tblParts[[#This Row],[RequiredCutLen_in]]),0)</f>
        <v>121.56899999999999</v>
      </c>
      <c r="L176" t="str">
        <f>TRIM(tblParts[[#This Row],[Material]])&amp;"|"&amp;TEXT(tblParts[[#This Row],[Diameter_in]],"0.000")</f>
        <v>Brass360|2.000</v>
      </c>
    </row>
    <row r="177" spans="1:12" x14ac:dyDescent="0.25">
      <c r="A177" t="s">
        <v>530</v>
      </c>
      <c r="B177" t="s">
        <v>130</v>
      </c>
      <c r="C177">
        <v>316</v>
      </c>
      <c r="D177">
        <v>1.375</v>
      </c>
      <c r="E177">
        <v>44.862000000000002</v>
      </c>
      <c r="F177">
        <v>0.40799999999999997</v>
      </c>
      <c r="G177">
        <v>3</v>
      </c>
      <c r="I177">
        <v>0.115</v>
      </c>
      <c r="J177">
        <f>IFERROR(N(tblParts[[#This Row],[FinishLen_in]])+N(tblParts[[#This Row],[ExtraStock_in]])+IF(OR(tblParts[[#This Row],[Kerf_in]]="",ISBLANK(tblParts[[#This Row],[Kerf_in]])),DefaultKerf_in,N(tblParts[[#This Row],[Kerf_in]]))+IF(OR(tblParts[[#This Row],[FaceAllow_in]]="",ISBLANK(tblParts[[#This Row],[FaceAllow_in]])),DefaultFaceAllow_in,N(tblParts[[#This Row],[FaceAllow_in]])),0)</f>
        <v>45.510000000000005</v>
      </c>
      <c r="K177">
        <f>IFERROR(N(tblParts[[#This Row],[Qty]])*N(tblParts[[#This Row],[RequiredCutLen_in]]),0)</f>
        <v>136.53000000000003</v>
      </c>
      <c r="L177" t="str">
        <f>TRIM(tblParts[[#This Row],[Material]])&amp;"|"&amp;TEXT(tblParts[[#This Row],[Diameter_in]],"0.000")</f>
        <v>316|1.375</v>
      </c>
    </row>
    <row r="178" spans="1:12" x14ac:dyDescent="0.25">
      <c r="A178" t="s">
        <v>530</v>
      </c>
      <c r="B178" t="s">
        <v>131</v>
      </c>
      <c r="C178" t="s">
        <v>14</v>
      </c>
      <c r="D178">
        <v>3</v>
      </c>
      <c r="E178">
        <v>41.725999999999999</v>
      </c>
      <c r="F178">
        <v>0.379</v>
      </c>
      <c r="G178">
        <v>4</v>
      </c>
      <c r="J178">
        <f>IFERROR(N(tblParts[[#This Row],[FinishLen_in]])+N(tblParts[[#This Row],[ExtraStock_in]])+IF(OR(tblParts[[#This Row],[Kerf_in]]="",ISBLANK(tblParts[[#This Row],[Kerf_in]])),DefaultKerf_in,N(tblParts[[#This Row],[Kerf_in]]))+IF(OR(tblParts[[#This Row],[FaceAllow_in]]="",ISBLANK(tblParts[[#This Row],[FaceAllow_in]])),DefaultFaceAllow_in,N(tblParts[[#This Row],[FaceAllow_in]])),0)</f>
        <v>42.354999999999997</v>
      </c>
      <c r="K178">
        <f>IFERROR(N(tblParts[[#This Row],[Qty]])*N(tblParts[[#This Row],[RequiredCutLen_in]]),0)</f>
        <v>169.42</v>
      </c>
      <c r="L178" t="str">
        <f>TRIM(tblParts[[#This Row],[Material]])&amp;"|"&amp;TEXT(tblParts[[#This Row],[Diameter_in]],"0.000")</f>
        <v>Inconel625|3.000</v>
      </c>
    </row>
    <row r="179" spans="1:12" x14ac:dyDescent="0.25">
      <c r="A179" t="s">
        <v>530</v>
      </c>
      <c r="B179" t="s">
        <v>132</v>
      </c>
      <c r="C179">
        <v>8620</v>
      </c>
      <c r="D179">
        <v>1</v>
      </c>
      <c r="E179">
        <v>11.779</v>
      </c>
      <c r="F179">
        <v>0.36499999999999999</v>
      </c>
      <c r="G179">
        <v>2</v>
      </c>
      <c r="H179">
        <v>7.1999999999999995E-2</v>
      </c>
      <c r="I179">
        <v>0.217</v>
      </c>
      <c r="J179">
        <f>IFERROR(N(tblParts[[#This Row],[FinishLen_in]])+N(tblParts[[#This Row],[ExtraStock_in]])+IF(OR(tblParts[[#This Row],[Kerf_in]]="",ISBLANK(tblParts[[#This Row],[Kerf_in]])),DefaultKerf_in,N(tblParts[[#This Row],[Kerf_in]]))+IF(OR(tblParts[[#This Row],[FaceAllow_in]]="",ISBLANK(tblParts[[#This Row],[FaceAllow_in]])),DefaultFaceAllow_in,N(tblParts[[#This Row],[FaceAllow_in]])),0)</f>
        <v>12.433</v>
      </c>
      <c r="K179">
        <f>IFERROR(N(tblParts[[#This Row],[Qty]])*N(tblParts[[#This Row],[RequiredCutLen_in]]),0)</f>
        <v>24.866</v>
      </c>
      <c r="L179" t="str">
        <f>TRIM(tblParts[[#This Row],[Material]])&amp;"|"&amp;TEXT(tblParts[[#This Row],[Diameter_in]],"0.000")</f>
        <v>8620|1.000</v>
      </c>
    </row>
    <row r="180" spans="1:12" x14ac:dyDescent="0.25">
      <c r="A180" t="s">
        <v>530</v>
      </c>
      <c r="B180" t="s">
        <v>133</v>
      </c>
      <c r="C180">
        <v>4340</v>
      </c>
      <c r="D180">
        <v>0.875</v>
      </c>
      <c r="E180">
        <v>27.54</v>
      </c>
      <c r="F180">
        <v>0.56299999999999994</v>
      </c>
      <c r="G180">
        <v>1</v>
      </c>
      <c r="J180">
        <f>IFERROR(N(tblParts[[#This Row],[FinishLen_in]])+N(tblParts[[#This Row],[ExtraStock_in]])+IF(OR(tblParts[[#This Row],[Kerf_in]]="",ISBLANK(tblParts[[#This Row],[Kerf_in]])),DefaultKerf_in,N(tblParts[[#This Row],[Kerf_in]]))+IF(OR(tblParts[[#This Row],[FaceAllow_in]]="",ISBLANK(tblParts[[#This Row],[FaceAllow_in]])),DefaultFaceAllow_in,N(tblParts[[#This Row],[FaceAllow_in]])),0)</f>
        <v>28.352999999999998</v>
      </c>
      <c r="K180">
        <f>IFERROR(N(tblParts[[#This Row],[Qty]])*N(tblParts[[#This Row],[RequiredCutLen_in]]),0)</f>
        <v>28.352999999999998</v>
      </c>
      <c r="L180" t="str">
        <f>TRIM(tblParts[[#This Row],[Material]])&amp;"|"&amp;TEXT(tblParts[[#This Row],[Diameter_in]],"0.000")</f>
        <v>4340|0.875</v>
      </c>
    </row>
    <row r="181" spans="1:12" x14ac:dyDescent="0.25">
      <c r="A181" t="s">
        <v>530</v>
      </c>
      <c r="B181" t="s">
        <v>134</v>
      </c>
      <c r="C181" t="s">
        <v>14</v>
      </c>
      <c r="D181">
        <v>3</v>
      </c>
      <c r="E181">
        <v>44.326999999999998</v>
      </c>
      <c r="F181">
        <v>0.72799999999999998</v>
      </c>
      <c r="G181">
        <v>5</v>
      </c>
      <c r="H181">
        <v>0.11</v>
      </c>
      <c r="I181">
        <v>6.5000000000000002E-2</v>
      </c>
      <c r="J181">
        <f>IFERROR(N(tblParts[[#This Row],[FinishLen_in]])+N(tblParts[[#This Row],[ExtraStock_in]])+IF(OR(tblParts[[#This Row],[Kerf_in]]="",ISBLANK(tblParts[[#This Row],[Kerf_in]])),DefaultKerf_in,N(tblParts[[#This Row],[Kerf_in]]))+IF(OR(tblParts[[#This Row],[FaceAllow_in]]="",ISBLANK(tblParts[[#This Row],[FaceAllow_in]])),DefaultFaceAllow_in,N(tblParts[[#This Row],[FaceAllow_in]])),0)</f>
        <v>45.23</v>
      </c>
      <c r="K181">
        <f>IFERROR(N(tblParts[[#This Row],[Qty]])*N(tblParts[[#This Row],[RequiredCutLen_in]]),0)</f>
        <v>226.14999999999998</v>
      </c>
      <c r="L181" t="str">
        <f>TRIM(tblParts[[#This Row],[Material]])&amp;"|"&amp;TEXT(tblParts[[#This Row],[Diameter_in]],"0.000")</f>
        <v>Inconel625|3.000</v>
      </c>
    </row>
    <row r="182" spans="1:12" x14ac:dyDescent="0.25">
      <c r="A182" t="s">
        <v>530</v>
      </c>
      <c r="B182" t="s">
        <v>135</v>
      </c>
      <c r="C182">
        <v>4340</v>
      </c>
      <c r="D182">
        <v>0.875</v>
      </c>
      <c r="E182">
        <v>36.466000000000001</v>
      </c>
      <c r="F182">
        <v>0.94399999999999995</v>
      </c>
      <c r="G182">
        <v>5</v>
      </c>
      <c r="I182">
        <v>0.14499999999999999</v>
      </c>
      <c r="J182">
        <f>IFERROR(N(tblParts[[#This Row],[FinishLen_in]])+N(tblParts[[#This Row],[ExtraStock_in]])+IF(OR(tblParts[[#This Row],[Kerf_in]]="",ISBLANK(tblParts[[#This Row],[Kerf_in]])),DefaultKerf_in,N(tblParts[[#This Row],[Kerf_in]]))+IF(OR(tblParts[[#This Row],[FaceAllow_in]]="",ISBLANK(tblParts[[#This Row],[FaceAllow_in]])),DefaultFaceAllow_in,N(tblParts[[#This Row],[FaceAllow_in]])),0)</f>
        <v>37.680000000000007</v>
      </c>
      <c r="K182">
        <f>IFERROR(N(tblParts[[#This Row],[Qty]])*N(tblParts[[#This Row],[RequiredCutLen_in]]),0)</f>
        <v>188.40000000000003</v>
      </c>
      <c r="L182" t="str">
        <f>TRIM(tblParts[[#This Row],[Material]])&amp;"|"&amp;TEXT(tblParts[[#This Row],[Diameter_in]],"0.000")</f>
        <v>4340|0.875</v>
      </c>
    </row>
    <row r="183" spans="1:12" x14ac:dyDescent="0.25">
      <c r="A183" t="s">
        <v>530</v>
      </c>
      <c r="B183" t="s">
        <v>136</v>
      </c>
      <c r="C183">
        <v>316</v>
      </c>
      <c r="D183">
        <v>1.375</v>
      </c>
      <c r="E183">
        <v>45.646999999999998</v>
      </c>
      <c r="F183">
        <v>0.184</v>
      </c>
      <c r="G183">
        <v>2</v>
      </c>
      <c r="I183">
        <v>0.17599999999999999</v>
      </c>
      <c r="J183">
        <f>IFERROR(N(tblParts[[#This Row],[FinishLen_in]])+N(tblParts[[#This Row],[ExtraStock_in]])+IF(OR(tblParts[[#This Row],[Kerf_in]]="",ISBLANK(tblParts[[#This Row],[Kerf_in]])),DefaultKerf_in,N(tblParts[[#This Row],[Kerf_in]]))+IF(OR(tblParts[[#This Row],[FaceAllow_in]]="",ISBLANK(tblParts[[#This Row],[FaceAllow_in]])),DefaultFaceAllow_in,N(tblParts[[#This Row],[FaceAllow_in]])),0)</f>
        <v>46.131999999999998</v>
      </c>
      <c r="K183">
        <f>IFERROR(N(tblParts[[#This Row],[Qty]])*N(tblParts[[#This Row],[RequiredCutLen_in]]),0)</f>
        <v>92.263999999999996</v>
      </c>
      <c r="L183" t="str">
        <f>TRIM(tblParts[[#This Row],[Material]])&amp;"|"&amp;TEXT(tblParts[[#This Row],[Diameter_in]],"0.000")</f>
        <v>316|1.375</v>
      </c>
    </row>
    <row r="184" spans="1:12" x14ac:dyDescent="0.25">
      <c r="A184" t="s">
        <v>530</v>
      </c>
      <c r="B184" t="s">
        <v>137</v>
      </c>
      <c r="C184" t="s">
        <v>12</v>
      </c>
      <c r="D184">
        <v>2.5</v>
      </c>
      <c r="E184">
        <v>9.641</v>
      </c>
      <c r="F184">
        <v>0.161</v>
      </c>
      <c r="G184">
        <v>5</v>
      </c>
      <c r="H184">
        <v>7.0999999999999994E-2</v>
      </c>
      <c r="I184">
        <v>0.112</v>
      </c>
      <c r="J184">
        <f>IFERROR(N(tblParts[[#This Row],[FinishLen_in]])+N(tblParts[[#This Row],[ExtraStock_in]])+IF(OR(tblParts[[#This Row],[Kerf_in]]="",ISBLANK(tblParts[[#This Row],[Kerf_in]])),DefaultKerf_in,N(tblParts[[#This Row],[Kerf_in]]))+IF(OR(tblParts[[#This Row],[FaceAllow_in]]="",ISBLANK(tblParts[[#This Row],[FaceAllow_in]])),DefaultFaceAllow_in,N(tblParts[[#This Row],[FaceAllow_in]])),0)</f>
        <v>9.9849999999999994</v>
      </c>
      <c r="K184">
        <f>IFERROR(N(tblParts[[#This Row],[Qty]])*N(tblParts[[#This Row],[RequiredCutLen_in]]),0)</f>
        <v>49.924999999999997</v>
      </c>
      <c r="L184" t="str">
        <f>TRIM(tblParts[[#This Row],[Material]])&amp;"|"&amp;TEXT(tblParts[[#This Row],[Diameter_in]],"0.000")</f>
        <v>Ti-6Al-4V|2.500</v>
      </c>
    </row>
    <row r="185" spans="1:12" x14ac:dyDescent="0.25">
      <c r="A185" t="s">
        <v>530</v>
      </c>
      <c r="B185" t="s">
        <v>138</v>
      </c>
      <c r="C185" t="s">
        <v>3</v>
      </c>
      <c r="D185">
        <v>0.625</v>
      </c>
      <c r="E185">
        <v>15.734</v>
      </c>
      <c r="F185">
        <v>0.22800000000000001</v>
      </c>
      <c r="G185">
        <v>3</v>
      </c>
      <c r="H185">
        <v>0.108</v>
      </c>
      <c r="I185">
        <v>0.152</v>
      </c>
      <c r="J185">
        <f>IFERROR(N(tblParts[[#This Row],[FinishLen_in]])+N(tblParts[[#This Row],[ExtraStock_in]])+IF(OR(tblParts[[#This Row],[Kerf_in]]="",ISBLANK(tblParts[[#This Row],[Kerf_in]])),DefaultKerf_in,N(tblParts[[#This Row],[Kerf_in]]))+IF(OR(tblParts[[#This Row],[FaceAllow_in]]="",ISBLANK(tblParts[[#This Row],[FaceAllow_in]])),DefaultFaceAllow_in,N(tblParts[[#This Row],[FaceAllow_in]])),0)</f>
        <v>16.222000000000001</v>
      </c>
      <c r="K185">
        <f>IFERROR(N(tblParts[[#This Row],[Qty]])*N(tblParts[[#This Row],[RequiredCutLen_in]]),0)</f>
        <v>48.666000000000004</v>
      </c>
      <c r="L185" t="str">
        <f>TRIM(tblParts[[#This Row],[Material]])&amp;"|"&amp;TEXT(tblParts[[#This Row],[Diameter_in]],"0.000")</f>
        <v>12L14|0.625</v>
      </c>
    </row>
    <row r="186" spans="1:12" x14ac:dyDescent="0.25">
      <c r="A186" t="s">
        <v>530</v>
      </c>
      <c r="B186" t="s">
        <v>139</v>
      </c>
      <c r="C186" t="s">
        <v>16</v>
      </c>
      <c r="D186">
        <v>4</v>
      </c>
      <c r="E186">
        <v>12.471</v>
      </c>
      <c r="F186">
        <v>0.125</v>
      </c>
      <c r="G186">
        <v>6</v>
      </c>
      <c r="H186">
        <v>8.1000000000000003E-2</v>
      </c>
      <c r="J186">
        <f>IFERROR(N(tblParts[[#This Row],[FinishLen_in]])+N(tblParts[[#This Row],[ExtraStock_in]])+IF(OR(tblParts[[#This Row],[Kerf_in]]="",ISBLANK(tblParts[[#This Row],[Kerf_in]])),DefaultKerf_in,N(tblParts[[#This Row],[Kerf_in]]))+IF(OR(tblParts[[#This Row],[FaceAllow_in]]="",ISBLANK(tblParts[[#This Row],[FaceAllow_in]])),DefaultFaceAllow_in,N(tblParts[[#This Row],[FaceAllow_in]])),0)</f>
        <v>12.802</v>
      </c>
      <c r="K186">
        <f>IFERROR(N(tblParts[[#This Row],[Qty]])*N(tblParts[[#This Row],[RequiredCutLen_in]]),0)</f>
        <v>76.811999999999998</v>
      </c>
      <c r="L186" t="str">
        <f>TRIM(tblParts[[#This Row],[Material]])&amp;"|"&amp;TEXT(tblParts[[#This Row],[Diameter_in]],"0.000")</f>
        <v>Acetal|4.000</v>
      </c>
    </row>
    <row r="187" spans="1:12" x14ac:dyDescent="0.25">
      <c r="A187" t="s">
        <v>530</v>
      </c>
      <c r="B187" t="s">
        <v>140</v>
      </c>
      <c r="C187" t="s">
        <v>14</v>
      </c>
      <c r="D187">
        <v>3</v>
      </c>
      <c r="E187">
        <v>45.37</v>
      </c>
      <c r="F187">
        <v>0.214</v>
      </c>
      <c r="G187">
        <v>6</v>
      </c>
      <c r="H187">
        <v>0.104</v>
      </c>
      <c r="I187">
        <v>0.184</v>
      </c>
      <c r="J187">
        <f>IFERROR(N(tblParts[[#This Row],[FinishLen_in]])+N(tblParts[[#This Row],[ExtraStock_in]])+IF(OR(tblParts[[#This Row],[Kerf_in]]="",ISBLANK(tblParts[[#This Row],[Kerf_in]])),DefaultKerf_in,N(tblParts[[#This Row],[Kerf_in]]))+IF(OR(tblParts[[#This Row],[FaceAllow_in]]="",ISBLANK(tblParts[[#This Row],[FaceAllow_in]])),DefaultFaceAllow_in,N(tblParts[[#This Row],[FaceAllow_in]])),0)</f>
        <v>45.871999999999993</v>
      </c>
      <c r="K187">
        <f>IFERROR(N(tblParts[[#This Row],[Qty]])*N(tblParts[[#This Row],[RequiredCutLen_in]]),0)</f>
        <v>275.23199999999997</v>
      </c>
      <c r="L187" t="str">
        <f>TRIM(tblParts[[#This Row],[Material]])&amp;"|"&amp;TEXT(tblParts[[#This Row],[Diameter_in]],"0.000")</f>
        <v>Inconel625|3.000</v>
      </c>
    </row>
    <row r="188" spans="1:12" x14ac:dyDescent="0.25">
      <c r="A188" t="s">
        <v>530</v>
      </c>
      <c r="B188" t="s">
        <v>141</v>
      </c>
      <c r="C188" t="s">
        <v>8</v>
      </c>
      <c r="D188">
        <v>1.875</v>
      </c>
      <c r="E188">
        <v>3.3650000000000002</v>
      </c>
      <c r="F188">
        <v>0.22900000000000001</v>
      </c>
      <c r="G188">
        <v>2</v>
      </c>
      <c r="H188">
        <v>0.115</v>
      </c>
      <c r="J188">
        <f>IFERROR(N(tblParts[[#This Row],[FinishLen_in]])+N(tblParts[[#This Row],[ExtraStock_in]])+IF(OR(tblParts[[#This Row],[Kerf_in]]="",ISBLANK(tblParts[[#This Row],[Kerf_in]])),DefaultKerf_in,N(tblParts[[#This Row],[Kerf_in]]))+IF(OR(tblParts[[#This Row],[FaceAllow_in]]="",ISBLANK(tblParts[[#This Row],[FaceAllow_in]])),DefaultFaceAllow_in,N(tblParts[[#This Row],[FaceAllow_in]])),0)</f>
        <v>3.8340000000000005</v>
      </c>
      <c r="K188">
        <f>IFERROR(N(tblParts[[#This Row],[Qty]])*N(tblParts[[#This Row],[RequiredCutLen_in]]),0)</f>
        <v>7.668000000000001</v>
      </c>
      <c r="L188" t="str">
        <f>TRIM(tblParts[[#This Row],[Material]])&amp;"|"&amp;TEXT(tblParts[[#This Row],[Diameter_in]],"0.000")</f>
        <v>A2|1.875</v>
      </c>
    </row>
    <row r="189" spans="1:12" x14ac:dyDescent="0.25">
      <c r="A189" t="s">
        <v>530</v>
      </c>
      <c r="B189" t="s">
        <v>142</v>
      </c>
      <c r="C189" t="s">
        <v>8</v>
      </c>
      <c r="D189">
        <v>1.875</v>
      </c>
      <c r="E189">
        <v>28.105</v>
      </c>
      <c r="F189">
        <v>0.77600000000000002</v>
      </c>
      <c r="G189">
        <v>5</v>
      </c>
      <c r="I189">
        <v>0.126</v>
      </c>
      <c r="J189">
        <f>IFERROR(N(tblParts[[#This Row],[FinishLen_in]])+N(tblParts[[#This Row],[ExtraStock_in]])+IF(OR(tblParts[[#This Row],[Kerf_in]]="",ISBLANK(tblParts[[#This Row],[Kerf_in]])),DefaultKerf_in,N(tblParts[[#This Row],[Kerf_in]]))+IF(OR(tblParts[[#This Row],[FaceAllow_in]]="",ISBLANK(tblParts[[#This Row],[FaceAllow_in]])),DefaultFaceAllow_in,N(tblParts[[#This Row],[FaceAllow_in]])),0)</f>
        <v>29.132000000000001</v>
      </c>
      <c r="K189">
        <f>IFERROR(N(tblParts[[#This Row],[Qty]])*N(tblParts[[#This Row],[RequiredCutLen_in]]),0)</f>
        <v>145.66</v>
      </c>
      <c r="L189" t="str">
        <f>TRIM(tblParts[[#This Row],[Material]])&amp;"|"&amp;TEXT(tblParts[[#This Row],[Diameter_in]],"0.000")</f>
        <v>A2|1.875</v>
      </c>
    </row>
    <row r="190" spans="1:12" x14ac:dyDescent="0.25">
      <c r="A190" t="s">
        <v>530</v>
      </c>
      <c r="B190" t="s">
        <v>143</v>
      </c>
      <c r="C190" t="s">
        <v>5</v>
      </c>
      <c r="D190">
        <v>1.5</v>
      </c>
      <c r="E190">
        <v>5.7569999999999997</v>
      </c>
      <c r="F190">
        <v>0.58699999999999997</v>
      </c>
      <c r="G190">
        <v>1</v>
      </c>
      <c r="I190">
        <v>0.22</v>
      </c>
      <c r="J190">
        <f>IFERROR(N(tblParts[[#This Row],[FinishLen_in]])+N(tblParts[[#This Row],[ExtraStock_in]])+IF(OR(tblParts[[#This Row],[Kerf_in]]="",ISBLANK(tblParts[[#This Row],[Kerf_in]])),DefaultKerf_in,N(tblParts[[#This Row],[Kerf_in]]))+IF(OR(tblParts[[#This Row],[FaceAllow_in]]="",ISBLANK(tblParts[[#This Row],[FaceAllow_in]])),DefaultFaceAllow_in,N(tblParts[[#This Row],[FaceAllow_in]])),0)</f>
        <v>6.6889999999999992</v>
      </c>
      <c r="K190">
        <f>IFERROR(N(tblParts[[#This Row],[Qty]])*N(tblParts[[#This Row],[RequiredCutLen_in]]),0)</f>
        <v>6.6889999999999992</v>
      </c>
      <c r="L190" t="str">
        <f>TRIM(tblParts[[#This Row],[Material]])&amp;"|"&amp;TEXT(tblParts[[#This Row],[Diameter_in]],"0.000")</f>
        <v>O1|1.500</v>
      </c>
    </row>
    <row r="191" spans="1:12" x14ac:dyDescent="0.25">
      <c r="A191" t="s">
        <v>530</v>
      </c>
      <c r="B191" t="s">
        <v>144</v>
      </c>
      <c r="C191" t="s">
        <v>16</v>
      </c>
      <c r="D191">
        <v>4</v>
      </c>
      <c r="E191">
        <v>35.393999999999998</v>
      </c>
      <c r="F191">
        <v>0.42399999999999999</v>
      </c>
      <c r="G191">
        <v>6</v>
      </c>
      <c r="H191">
        <v>0.11700000000000001</v>
      </c>
      <c r="I191">
        <v>0.23100000000000001</v>
      </c>
      <c r="J191">
        <f>IFERROR(N(tblParts[[#This Row],[FinishLen_in]])+N(tblParts[[#This Row],[ExtraStock_in]])+IF(OR(tblParts[[#This Row],[Kerf_in]]="",ISBLANK(tblParts[[#This Row],[Kerf_in]])),DefaultKerf_in,N(tblParts[[#This Row],[Kerf_in]]))+IF(OR(tblParts[[#This Row],[FaceAllow_in]]="",ISBLANK(tblParts[[#This Row],[FaceAllow_in]])),DefaultFaceAllow_in,N(tblParts[[#This Row],[FaceAllow_in]])),0)</f>
        <v>36.165999999999997</v>
      </c>
      <c r="K191">
        <f>IFERROR(N(tblParts[[#This Row],[Qty]])*N(tblParts[[#This Row],[RequiredCutLen_in]]),0)</f>
        <v>216.99599999999998</v>
      </c>
      <c r="L191" t="str">
        <f>TRIM(tblParts[[#This Row],[Material]])&amp;"|"&amp;TEXT(tblParts[[#This Row],[Diameter_in]],"0.000")</f>
        <v>Acetal|4.000</v>
      </c>
    </row>
    <row r="192" spans="1:12" x14ac:dyDescent="0.25">
      <c r="A192" t="s">
        <v>530</v>
      </c>
      <c r="B192" t="s">
        <v>145</v>
      </c>
      <c r="C192" t="s">
        <v>11</v>
      </c>
      <c r="D192">
        <v>2.25</v>
      </c>
      <c r="E192">
        <v>2.3039999999999998</v>
      </c>
      <c r="F192">
        <v>0.74099999999999999</v>
      </c>
      <c r="G192">
        <v>3</v>
      </c>
      <c r="I192">
        <v>0.19800000000000001</v>
      </c>
      <c r="J192">
        <f>IFERROR(N(tblParts[[#This Row],[FinishLen_in]])+N(tblParts[[#This Row],[ExtraStock_in]])+IF(OR(tblParts[[#This Row],[Kerf_in]]="",ISBLANK(tblParts[[#This Row],[Kerf_in]])),DefaultKerf_in,N(tblParts[[#This Row],[Kerf_in]]))+IF(OR(tblParts[[#This Row],[FaceAllow_in]]="",ISBLANK(tblParts[[#This Row],[FaceAllow_in]])),DefaultFaceAllow_in,N(tblParts[[#This Row],[FaceAllow_in]])),0)</f>
        <v>3.3679999999999999</v>
      </c>
      <c r="K192">
        <f>IFERROR(N(tblParts[[#This Row],[Qty]])*N(tblParts[[#This Row],[RequiredCutLen_in]]),0)</f>
        <v>10.103999999999999</v>
      </c>
      <c r="L192" t="str">
        <f>TRIM(tblParts[[#This Row],[Material]])&amp;"|"&amp;TEXT(tblParts[[#This Row],[Diameter_in]],"0.000")</f>
        <v>Al7075|2.250</v>
      </c>
    </row>
    <row r="193" spans="1:12" x14ac:dyDescent="0.25">
      <c r="A193" t="s">
        <v>530</v>
      </c>
      <c r="B193" t="s">
        <v>146</v>
      </c>
      <c r="C193" t="s">
        <v>12</v>
      </c>
      <c r="D193">
        <v>2.5</v>
      </c>
      <c r="E193">
        <v>38.554000000000002</v>
      </c>
      <c r="F193">
        <v>0.71499999999999997</v>
      </c>
      <c r="G193">
        <v>3</v>
      </c>
      <c r="H193">
        <v>9.0999999999999998E-2</v>
      </c>
      <c r="I193">
        <v>0.14599999999999999</v>
      </c>
      <c r="J193">
        <f>IFERROR(N(tblParts[[#This Row],[FinishLen_in]])+N(tblParts[[#This Row],[ExtraStock_in]])+IF(OR(tblParts[[#This Row],[Kerf_in]]="",ISBLANK(tblParts[[#This Row],[Kerf_in]])),DefaultKerf_in,N(tblParts[[#This Row],[Kerf_in]]))+IF(OR(tblParts[[#This Row],[FaceAllow_in]]="",ISBLANK(tblParts[[#This Row],[FaceAllow_in]])),DefaultFaceAllow_in,N(tblParts[[#This Row],[FaceAllow_in]])),0)</f>
        <v>39.506000000000007</v>
      </c>
      <c r="K193">
        <f>IFERROR(N(tblParts[[#This Row],[Qty]])*N(tblParts[[#This Row],[RequiredCutLen_in]]),0)</f>
        <v>118.51800000000003</v>
      </c>
      <c r="L193" t="str">
        <f>TRIM(tblParts[[#This Row],[Material]])&amp;"|"&amp;TEXT(tblParts[[#This Row],[Diameter_in]],"0.000")</f>
        <v>Ti-6Al-4V|2.500</v>
      </c>
    </row>
    <row r="194" spans="1:12" x14ac:dyDescent="0.25">
      <c r="A194" t="s">
        <v>530</v>
      </c>
      <c r="B194" t="s">
        <v>147</v>
      </c>
      <c r="C194" t="s">
        <v>10</v>
      </c>
      <c r="D194">
        <v>2.125</v>
      </c>
      <c r="E194">
        <v>43.947000000000003</v>
      </c>
      <c r="F194">
        <v>0.371</v>
      </c>
      <c r="G194">
        <v>1</v>
      </c>
      <c r="I194">
        <v>7.3999999999999996E-2</v>
      </c>
      <c r="J194">
        <f>IFERROR(N(tblParts[[#This Row],[FinishLen_in]])+N(tblParts[[#This Row],[ExtraStock_in]])+IF(OR(tblParts[[#This Row],[Kerf_in]]="",ISBLANK(tblParts[[#This Row],[Kerf_in]])),DefaultKerf_in,N(tblParts[[#This Row],[Kerf_in]]))+IF(OR(tblParts[[#This Row],[FaceAllow_in]]="",ISBLANK(tblParts[[#This Row],[FaceAllow_in]])),DefaultFaceAllow_in,N(tblParts[[#This Row],[FaceAllow_in]])),0)</f>
        <v>44.517000000000003</v>
      </c>
      <c r="K194">
        <f>IFERROR(N(tblParts[[#This Row],[Qty]])*N(tblParts[[#This Row],[RequiredCutLen_in]]),0)</f>
        <v>44.517000000000003</v>
      </c>
      <c r="L194" t="str">
        <f>TRIM(tblParts[[#This Row],[Material]])&amp;"|"&amp;TEXT(tblParts[[#This Row],[Diameter_in]],"0.000")</f>
        <v>Al6061|2.125</v>
      </c>
    </row>
    <row r="195" spans="1:12" x14ac:dyDescent="0.25">
      <c r="A195" t="s">
        <v>530</v>
      </c>
      <c r="B195" t="s">
        <v>148</v>
      </c>
      <c r="C195">
        <v>304</v>
      </c>
      <c r="D195">
        <v>1.25</v>
      </c>
      <c r="E195">
        <v>7.7549999999999999</v>
      </c>
      <c r="F195">
        <v>0.34100000000000003</v>
      </c>
      <c r="G195">
        <v>3</v>
      </c>
      <c r="H195">
        <v>0.114</v>
      </c>
      <c r="I195">
        <v>0.107</v>
      </c>
      <c r="J195">
        <f>IFERROR(N(tblParts[[#This Row],[FinishLen_in]])+N(tblParts[[#This Row],[ExtraStock_in]])+IF(OR(tblParts[[#This Row],[Kerf_in]]="",ISBLANK(tblParts[[#This Row],[Kerf_in]])),DefaultKerf_in,N(tblParts[[#This Row],[Kerf_in]]))+IF(OR(tblParts[[#This Row],[FaceAllow_in]]="",ISBLANK(tblParts[[#This Row],[FaceAllow_in]])),DefaultFaceAllow_in,N(tblParts[[#This Row],[FaceAllow_in]])),0)</f>
        <v>8.3170000000000002</v>
      </c>
      <c r="K195">
        <f>IFERROR(N(tblParts[[#This Row],[Qty]])*N(tblParts[[#This Row],[RequiredCutLen_in]]),0)</f>
        <v>24.951000000000001</v>
      </c>
      <c r="L195" t="str">
        <f>TRIM(tblParts[[#This Row],[Material]])&amp;"|"&amp;TEXT(tblParts[[#This Row],[Diameter_in]],"0.000")</f>
        <v>304|1.250</v>
      </c>
    </row>
    <row r="196" spans="1:12" x14ac:dyDescent="0.25">
      <c r="A196" t="s">
        <v>530</v>
      </c>
      <c r="B196" t="s">
        <v>149</v>
      </c>
      <c r="C196" t="s">
        <v>16</v>
      </c>
      <c r="D196">
        <v>4</v>
      </c>
      <c r="E196">
        <v>31.5</v>
      </c>
      <c r="F196">
        <v>0.754</v>
      </c>
      <c r="G196">
        <v>3</v>
      </c>
      <c r="H196">
        <v>0.104</v>
      </c>
      <c r="I196">
        <v>0.246</v>
      </c>
      <c r="J196">
        <f>IFERROR(N(tblParts[[#This Row],[FinishLen_in]])+N(tblParts[[#This Row],[ExtraStock_in]])+IF(OR(tblParts[[#This Row],[Kerf_in]]="",ISBLANK(tblParts[[#This Row],[Kerf_in]])),DefaultKerf_in,N(tblParts[[#This Row],[Kerf_in]]))+IF(OR(tblParts[[#This Row],[FaceAllow_in]]="",ISBLANK(tblParts[[#This Row],[FaceAllow_in]])),DefaultFaceAllow_in,N(tblParts[[#This Row],[FaceAllow_in]])),0)</f>
        <v>32.603999999999999</v>
      </c>
      <c r="K196">
        <f>IFERROR(N(tblParts[[#This Row],[Qty]])*N(tblParts[[#This Row],[RequiredCutLen_in]]),0)</f>
        <v>97.811999999999998</v>
      </c>
      <c r="L196" t="str">
        <f>TRIM(tblParts[[#This Row],[Material]])&amp;"|"&amp;TEXT(tblParts[[#This Row],[Diameter_in]],"0.000")</f>
        <v>Acetal|4.000</v>
      </c>
    </row>
    <row r="197" spans="1:12" x14ac:dyDescent="0.25">
      <c r="A197" t="s">
        <v>530</v>
      </c>
      <c r="B197" t="s">
        <v>150</v>
      </c>
      <c r="C197">
        <v>304</v>
      </c>
      <c r="D197">
        <v>1.25</v>
      </c>
      <c r="E197">
        <v>6.8639999999999999</v>
      </c>
      <c r="F197">
        <v>0.249</v>
      </c>
      <c r="G197">
        <v>4</v>
      </c>
      <c r="H197">
        <v>6.0999999999999999E-2</v>
      </c>
      <c r="I197">
        <v>0.22800000000000001</v>
      </c>
      <c r="J197">
        <f>IFERROR(N(tblParts[[#This Row],[FinishLen_in]])+N(tblParts[[#This Row],[ExtraStock_in]])+IF(OR(tblParts[[#This Row],[Kerf_in]]="",ISBLANK(tblParts[[#This Row],[Kerf_in]])),DefaultKerf_in,N(tblParts[[#This Row],[Kerf_in]]))+IF(OR(tblParts[[#This Row],[FaceAllow_in]]="",ISBLANK(tblParts[[#This Row],[FaceAllow_in]])),DefaultFaceAllow_in,N(tblParts[[#This Row],[FaceAllow_in]])),0)</f>
        <v>7.4019999999999992</v>
      </c>
      <c r="K197">
        <f>IFERROR(N(tblParts[[#This Row],[Qty]])*N(tblParts[[#This Row],[RequiredCutLen_in]]),0)</f>
        <v>29.607999999999997</v>
      </c>
      <c r="L197" t="str">
        <f>TRIM(tblParts[[#This Row],[Material]])&amp;"|"&amp;TEXT(tblParts[[#This Row],[Diameter_in]],"0.000")</f>
        <v>304|1.250</v>
      </c>
    </row>
    <row r="198" spans="1:12" x14ac:dyDescent="0.25">
      <c r="A198" t="s">
        <v>530</v>
      </c>
      <c r="B198" t="s">
        <v>151</v>
      </c>
      <c r="C198" t="s">
        <v>12</v>
      </c>
      <c r="D198">
        <v>2.5</v>
      </c>
      <c r="E198">
        <v>15.971</v>
      </c>
      <c r="F198">
        <v>0.75</v>
      </c>
      <c r="G198">
        <v>1</v>
      </c>
      <c r="H198">
        <v>9.4E-2</v>
      </c>
      <c r="I198">
        <v>0.122</v>
      </c>
      <c r="J198">
        <f>IFERROR(N(tblParts[[#This Row],[FinishLen_in]])+N(tblParts[[#This Row],[ExtraStock_in]])+IF(OR(tblParts[[#This Row],[Kerf_in]]="",ISBLANK(tblParts[[#This Row],[Kerf_in]])),DefaultKerf_in,N(tblParts[[#This Row],[Kerf_in]]))+IF(OR(tblParts[[#This Row],[FaceAllow_in]]="",ISBLANK(tblParts[[#This Row],[FaceAllow_in]])),DefaultFaceAllow_in,N(tblParts[[#This Row],[FaceAllow_in]])),0)</f>
        <v>16.937000000000001</v>
      </c>
      <c r="K198">
        <f>IFERROR(N(tblParts[[#This Row],[Qty]])*N(tblParts[[#This Row],[RequiredCutLen_in]]),0)</f>
        <v>16.937000000000001</v>
      </c>
      <c r="L198" t="str">
        <f>TRIM(tblParts[[#This Row],[Material]])&amp;"|"&amp;TEXT(tblParts[[#This Row],[Diameter_in]],"0.000")</f>
        <v>Ti-6Al-4V|2.500</v>
      </c>
    </row>
    <row r="199" spans="1:12" x14ac:dyDescent="0.25">
      <c r="A199" t="s">
        <v>530</v>
      </c>
      <c r="B199" t="s">
        <v>152</v>
      </c>
      <c r="C199" t="s">
        <v>13</v>
      </c>
      <c r="D199">
        <v>2.75</v>
      </c>
      <c r="E199">
        <v>34.142000000000003</v>
      </c>
      <c r="F199">
        <v>0.58899999999999997</v>
      </c>
      <c r="G199">
        <v>1</v>
      </c>
      <c r="H199">
        <v>7.2999999999999995E-2</v>
      </c>
      <c r="I199">
        <v>0.221</v>
      </c>
      <c r="J199">
        <f>IFERROR(N(tblParts[[#This Row],[FinishLen_in]])+N(tblParts[[#This Row],[ExtraStock_in]])+IF(OR(tblParts[[#This Row],[Kerf_in]]="",ISBLANK(tblParts[[#This Row],[Kerf_in]])),DefaultKerf_in,N(tblParts[[#This Row],[Kerf_in]]))+IF(OR(tblParts[[#This Row],[FaceAllow_in]]="",ISBLANK(tblParts[[#This Row],[FaceAllow_in]])),DefaultFaceAllow_in,N(tblParts[[#This Row],[FaceAllow_in]])),0)</f>
        <v>35.024999999999999</v>
      </c>
      <c r="K199">
        <f>IFERROR(N(tblParts[[#This Row],[Qty]])*N(tblParts[[#This Row],[RequiredCutLen_in]]),0)</f>
        <v>35.024999999999999</v>
      </c>
      <c r="L199" t="str">
        <f>TRIM(tblParts[[#This Row],[Material]])&amp;"|"&amp;TEXT(tblParts[[#This Row],[Diameter_in]],"0.000")</f>
        <v>Monel400|2.750</v>
      </c>
    </row>
    <row r="200" spans="1:12" x14ac:dyDescent="0.25">
      <c r="A200" t="s">
        <v>530</v>
      </c>
      <c r="B200" t="s">
        <v>153</v>
      </c>
      <c r="C200" t="s">
        <v>8</v>
      </c>
      <c r="D200">
        <v>1.875</v>
      </c>
      <c r="E200">
        <v>46.14</v>
      </c>
      <c r="F200">
        <v>0.189</v>
      </c>
      <c r="G200">
        <v>5</v>
      </c>
      <c r="H200">
        <v>7.8E-2</v>
      </c>
      <c r="J200">
        <f>IFERROR(N(tblParts[[#This Row],[FinishLen_in]])+N(tblParts[[#This Row],[ExtraStock_in]])+IF(OR(tblParts[[#This Row],[Kerf_in]]="",ISBLANK(tblParts[[#This Row],[Kerf_in]])),DefaultKerf_in,N(tblParts[[#This Row],[Kerf_in]]))+IF(OR(tblParts[[#This Row],[FaceAllow_in]]="",ISBLANK(tblParts[[#This Row],[FaceAllow_in]])),DefaultFaceAllow_in,N(tblParts[[#This Row],[FaceAllow_in]])),0)</f>
        <v>46.532000000000004</v>
      </c>
      <c r="K200">
        <f>IFERROR(N(tblParts[[#This Row],[Qty]])*N(tblParts[[#This Row],[RequiredCutLen_in]]),0)</f>
        <v>232.66000000000003</v>
      </c>
      <c r="L200" t="str">
        <f>TRIM(tblParts[[#This Row],[Material]])&amp;"|"&amp;TEXT(tblParts[[#This Row],[Diameter_in]],"0.000")</f>
        <v>A2|1.875</v>
      </c>
    </row>
    <row r="201" spans="1:12" x14ac:dyDescent="0.25">
      <c r="A201" t="s">
        <v>530</v>
      </c>
      <c r="B201" t="s">
        <v>154</v>
      </c>
      <c r="C201" t="s">
        <v>6</v>
      </c>
      <c r="D201">
        <v>1.625</v>
      </c>
      <c r="E201">
        <v>1.6240000000000001</v>
      </c>
      <c r="F201">
        <v>0.52800000000000002</v>
      </c>
      <c r="G201">
        <v>1</v>
      </c>
      <c r="H201">
        <v>0.12</v>
      </c>
      <c r="J201">
        <f>IFERROR(N(tblParts[[#This Row],[FinishLen_in]])+N(tblParts[[#This Row],[ExtraStock_in]])+IF(OR(tblParts[[#This Row],[Kerf_in]]="",ISBLANK(tblParts[[#This Row],[Kerf_in]])),DefaultKerf_in,N(tblParts[[#This Row],[Kerf_in]]))+IF(OR(tblParts[[#This Row],[FaceAllow_in]]="",ISBLANK(tblParts[[#This Row],[FaceAllow_in]])),DefaultFaceAllow_in,N(tblParts[[#This Row],[FaceAllow_in]])),0)</f>
        <v>2.3970000000000002</v>
      </c>
      <c r="K201">
        <f>IFERROR(N(tblParts[[#This Row],[Qty]])*N(tblParts[[#This Row],[RequiredCutLen_in]]),0)</f>
        <v>2.3970000000000002</v>
      </c>
      <c r="L201" t="str">
        <f>TRIM(tblParts[[#This Row],[Material]])&amp;"|"&amp;TEXT(tblParts[[#This Row],[Diameter_in]],"0.000")</f>
        <v>D2|1.625</v>
      </c>
    </row>
    <row r="202" spans="1:12" x14ac:dyDescent="0.25">
      <c r="A202" t="s">
        <v>530</v>
      </c>
      <c r="B202" t="s">
        <v>155</v>
      </c>
      <c r="C202" t="s">
        <v>15</v>
      </c>
      <c r="D202">
        <v>3.5</v>
      </c>
      <c r="E202">
        <v>14.304</v>
      </c>
      <c r="F202">
        <v>0.42499999999999999</v>
      </c>
      <c r="G202">
        <v>4</v>
      </c>
      <c r="H202">
        <v>7.2999999999999995E-2</v>
      </c>
      <c r="I202">
        <v>0.20499999999999999</v>
      </c>
      <c r="J202">
        <f>IFERROR(N(tblParts[[#This Row],[FinishLen_in]])+N(tblParts[[#This Row],[ExtraStock_in]])+IF(OR(tblParts[[#This Row],[Kerf_in]]="",ISBLANK(tblParts[[#This Row],[Kerf_in]])),DefaultKerf_in,N(tblParts[[#This Row],[Kerf_in]]))+IF(OR(tblParts[[#This Row],[FaceAllow_in]]="",ISBLANK(tblParts[[#This Row],[FaceAllow_in]])),DefaultFaceAllow_in,N(tblParts[[#This Row],[FaceAllow_in]])),0)</f>
        <v>15.007000000000001</v>
      </c>
      <c r="K202">
        <f>IFERROR(N(tblParts[[#This Row],[Qty]])*N(tblParts[[#This Row],[RequiredCutLen_in]]),0)</f>
        <v>60.028000000000006</v>
      </c>
      <c r="L202" t="str">
        <f>TRIM(tblParts[[#This Row],[Material]])&amp;"|"&amp;TEXT(tblParts[[#This Row],[Diameter_in]],"0.000")</f>
        <v>UHMW|3.500</v>
      </c>
    </row>
    <row r="203" spans="1:12" x14ac:dyDescent="0.25">
      <c r="A203" t="s">
        <v>530</v>
      </c>
      <c r="B203" t="s">
        <v>156</v>
      </c>
      <c r="C203" t="s">
        <v>15</v>
      </c>
      <c r="D203">
        <v>3.5</v>
      </c>
      <c r="E203">
        <v>37.344999999999999</v>
      </c>
      <c r="F203">
        <v>0.80600000000000005</v>
      </c>
      <c r="G203">
        <v>6</v>
      </c>
      <c r="J203">
        <f>IFERROR(N(tblParts[[#This Row],[FinishLen_in]])+N(tblParts[[#This Row],[ExtraStock_in]])+IF(OR(tblParts[[#This Row],[Kerf_in]]="",ISBLANK(tblParts[[#This Row],[Kerf_in]])),DefaultKerf_in,N(tblParts[[#This Row],[Kerf_in]]))+IF(OR(tblParts[[#This Row],[FaceAllow_in]]="",ISBLANK(tblParts[[#This Row],[FaceAllow_in]])),DefaultFaceAllow_in,N(tblParts[[#This Row],[FaceAllow_in]])),0)</f>
        <v>38.400999999999996</v>
      </c>
      <c r="K203">
        <f>IFERROR(N(tblParts[[#This Row],[Qty]])*N(tblParts[[#This Row],[RequiredCutLen_in]]),0)</f>
        <v>230.40599999999998</v>
      </c>
      <c r="L203" t="str">
        <f>TRIM(tblParts[[#This Row],[Material]])&amp;"|"&amp;TEXT(tblParts[[#This Row],[Diameter_in]],"0.000")</f>
        <v>UHMW|3.500</v>
      </c>
    </row>
    <row r="204" spans="1:12" x14ac:dyDescent="0.25">
      <c r="A204" t="s">
        <v>530</v>
      </c>
      <c r="B204" t="s">
        <v>157</v>
      </c>
      <c r="C204" t="s">
        <v>3</v>
      </c>
      <c r="D204">
        <v>0.625</v>
      </c>
      <c r="E204">
        <v>39.076999999999998</v>
      </c>
      <c r="F204">
        <v>0.62</v>
      </c>
      <c r="G204">
        <v>6</v>
      </c>
      <c r="I204">
        <v>9.4E-2</v>
      </c>
      <c r="J204">
        <f>IFERROR(N(tblParts[[#This Row],[FinishLen_in]])+N(tblParts[[#This Row],[ExtraStock_in]])+IF(OR(tblParts[[#This Row],[Kerf_in]]="",ISBLANK(tblParts[[#This Row],[Kerf_in]])),DefaultKerf_in,N(tblParts[[#This Row],[Kerf_in]]))+IF(OR(tblParts[[#This Row],[FaceAllow_in]]="",ISBLANK(tblParts[[#This Row],[FaceAllow_in]])),DefaultFaceAllow_in,N(tblParts[[#This Row],[FaceAllow_in]])),0)</f>
        <v>39.915999999999997</v>
      </c>
      <c r="K204">
        <f>IFERROR(N(tblParts[[#This Row],[Qty]])*N(tblParts[[#This Row],[RequiredCutLen_in]]),0)</f>
        <v>239.49599999999998</v>
      </c>
      <c r="L204" t="str">
        <f>TRIM(tblParts[[#This Row],[Material]])&amp;"|"&amp;TEXT(tblParts[[#This Row],[Diameter_in]],"0.000")</f>
        <v>12L14|0.625</v>
      </c>
    </row>
    <row r="205" spans="1:12" x14ac:dyDescent="0.25">
      <c r="A205" t="s">
        <v>530</v>
      </c>
      <c r="B205" t="s">
        <v>158</v>
      </c>
      <c r="C205" t="s">
        <v>13</v>
      </c>
      <c r="D205">
        <v>2.75</v>
      </c>
      <c r="E205">
        <v>4.46</v>
      </c>
      <c r="F205">
        <v>0.91600000000000004</v>
      </c>
      <c r="G205">
        <v>6</v>
      </c>
      <c r="I205">
        <v>6.0999999999999999E-2</v>
      </c>
      <c r="J205">
        <f>IFERROR(N(tblParts[[#This Row],[FinishLen_in]])+N(tblParts[[#This Row],[ExtraStock_in]])+IF(OR(tblParts[[#This Row],[Kerf_in]]="",ISBLANK(tblParts[[#This Row],[Kerf_in]])),DefaultKerf_in,N(tblParts[[#This Row],[Kerf_in]]))+IF(OR(tblParts[[#This Row],[FaceAllow_in]]="",ISBLANK(tblParts[[#This Row],[FaceAllow_in]])),DefaultFaceAllow_in,N(tblParts[[#This Row],[FaceAllow_in]])),0)</f>
        <v>5.5620000000000003</v>
      </c>
      <c r="K205">
        <f>IFERROR(N(tblParts[[#This Row],[Qty]])*N(tblParts[[#This Row],[RequiredCutLen_in]]),0)</f>
        <v>33.372</v>
      </c>
      <c r="L205" t="str">
        <f>TRIM(tblParts[[#This Row],[Material]])&amp;"|"&amp;TEXT(tblParts[[#This Row],[Diameter_in]],"0.000")</f>
        <v>Monel400|2.750</v>
      </c>
    </row>
    <row r="206" spans="1:12" x14ac:dyDescent="0.25">
      <c r="A206" t="s">
        <v>530</v>
      </c>
      <c r="B206" t="s">
        <v>159</v>
      </c>
      <c r="C206">
        <v>1018</v>
      </c>
      <c r="D206">
        <v>0.5</v>
      </c>
      <c r="E206">
        <v>37.658000000000001</v>
      </c>
      <c r="F206">
        <v>0.65800000000000003</v>
      </c>
      <c r="G206">
        <v>6</v>
      </c>
      <c r="H206">
        <v>0.107</v>
      </c>
      <c r="J206">
        <f>IFERROR(N(tblParts[[#This Row],[FinishLen_in]])+N(tblParts[[#This Row],[ExtraStock_in]])+IF(OR(tblParts[[#This Row],[Kerf_in]]="",ISBLANK(tblParts[[#This Row],[Kerf_in]])),DefaultKerf_in,N(tblParts[[#This Row],[Kerf_in]]))+IF(OR(tblParts[[#This Row],[FaceAllow_in]]="",ISBLANK(tblParts[[#This Row],[FaceAllow_in]])),DefaultFaceAllow_in,N(tblParts[[#This Row],[FaceAllow_in]])),0)</f>
        <v>38.548000000000002</v>
      </c>
      <c r="K206">
        <f>IFERROR(N(tblParts[[#This Row],[Qty]])*N(tblParts[[#This Row],[RequiredCutLen_in]]),0)</f>
        <v>231.28800000000001</v>
      </c>
      <c r="L206" t="str">
        <f>TRIM(tblParts[[#This Row],[Material]])&amp;"|"&amp;TEXT(tblParts[[#This Row],[Diameter_in]],"0.000")</f>
        <v>1018|0.500</v>
      </c>
    </row>
    <row r="207" spans="1:12" x14ac:dyDescent="0.25">
      <c r="A207" t="s">
        <v>530</v>
      </c>
      <c r="B207" t="s">
        <v>160</v>
      </c>
      <c r="C207">
        <v>316</v>
      </c>
      <c r="D207">
        <v>1.375</v>
      </c>
      <c r="E207">
        <v>40.805999999999997</v>
      </c>
      <c r="F207">
        <v>0.27400000000000002</v>
      </c>
      <c r="G207">
        <v>6</v>
      </c>
      <c r="H207">
        <v>6.0999999999999999E-2</v>
      </c>
      <c r="I207">
        <v>0.122</v>
      </c>
      <c r="J207">
        <f>IFERROR(N(tblParts[[#This Row],[FinishLen_in]])+N(tblParts[[#This Row],[ExtraStock_in]])+IF(OR(tblParts[[#This Row],[Kerf_in]]="",ISBLANK(tblParts[[#This Row],[Kerf_in]])),DefaultKerf_in,N(tblParts[[#This Row],[Kerf_in]]))+IF(OR(tblParts[[#This Row],[FaceAllow_in]]="",ISBLANK(tblParts[[#This Row],[FaceAllow_in]])),DefaultFaceAllow_in,N(tblParts[[#This Row],[FaceAllow_in]])),0)</f>
        <v>41.262999999999998</v>
      </c>
      <c r="K207">
        <f>IFERROR(N(tblParts[[#This Row],[Qty]])*N(tblParts[[#This Row],[RequiredCutLen_in]]),0)</f>
        <v>247.57799999999997</v>
      </c>
      <c r="L207" t="str">
        <f>TRIM(tblParts[[#This Row],[Material]])&amp;"|"&amp;TEXT(tblParts[[#This Row],[Diameter_in]],"0.000")</f>
        <v>316|1.375</v>
      </c>
    </row>
    <row r="208" spans="1:12" x14ac:dyDescent="0.25">
      <c r="A208" t="s">
        <v>530</v>
      </c>
      <c r="B208" t="s">
        <v>161</v>
      </c>
      <c r="C208" t="s">
        <v>11</v>
      </c>
      <c r="D208">
        <v>2.25</v>
      </c>
      <c r="E208">
        <v>39</v>
      </c>
      <c r="F208">
        <v>0.95199999999999996</v>
      </c>
      <c r="G208">
        <v>2</v>
      </c>
      <c r="H208">
        <v>8.1000000000000003E-2</v>
      </c>
      <c r="I208">
        <v>0.16400000000000001</v>
      </c>
      <c r="J208">
        <f>IFERROR(N(tblParts[[#This Row],[FinishLen_in]])+N(tblParts[[#This Row],[ExtraStock_in]])+IF(OR(tblParts[[#This Row],[Kerf_in]]="",ISBLANK(tblParts[[#This Row],[Kerf_in]])),DefaultKerf_in,N(tblParts[[#This Row],[Kerf_in]]))+IF(OR(tblParts[[#This Row],[FaceAllow_in]]="",ISBLANK(tblParts[[#This Row],[FaceAllow_in]])),DefaultFaceAllow_in,N(tblParts[[#This Row],[FaceAllow_in]])),0)</f>
        <v>40.197000000000003</v>
      </c>
      <c r="K208">
        <f>IFERROR(N(tblParts[[#This Row],[Qty]])*N(tblParts[[#This Row],[RequiredCutLen_in]]),0)</f>
        <v>80.394000000000005</v>
      </c>
      <c r="L208" t="str">
        <f>TRIM(tblParts[[#This Row],[Material]])&amp;"|"&amp;TEXT(tblParts[[#This Row],[Diameter_in]],"0.000")</f>
        <v>Al7075|2.250</v>
      </c>
    </row>
    <row r="209" spans="1:12" x14ac:dyDescent="0.25">
      <c r="A209" t="s">
        <v>530</v>
      </c>
      <c r="B209" t="s">
        <v>162</v>
      </c>
      <c r="C209" t="s">
        <v>7</v>
      </c>
      <c r="D209">
        <v>1.75</v>
      </c>
      <c r="E209">
        <v>21.015999999999998</v>
      </c>
      <c r="F209">
        <v>0.80700000000000005</v>
      </c>
      <c r="G209">
        <v>6</v>
      </c>
      <c r="H209">
        <v>0.09</v>
      </c>
      <c r="J209">
        <f>IFERROR(N(tblParts[[#This Row],[FinishLen_in]])+N(tblParts[[#This Row],[ExtraStock_in]])+IF(OR(tblParts[[#This Row],[Kerf_in]]="",ISBLANK(tblParts[[#This Row],[Kerf_in]])),DefaultKerf_in,N(tblParts[[#This Row],[Kerf_in]]))+IF(OR(tblParts[[#This Row],[FaceAllow_in]]="",ISBLANK(tblParts[[#This Row],[FaceAllow_in]])),DefaultFaceAllow_in,N(tblParts[[#This Row],[FaceAllow_in]])),0)</f>
        <v>22.037999999999997</v>
      </c>
      <c r="K209">
        <f>IFERROR(N(tblParts[[#This Row],[Qty]])*N(tblParts[[#This Row],[RequiredCutLen_in]]),0)</f>
        <v>132.22799999999998</v>
      </c>
      <c r="L209" t="str">
        <f>TRIM(tblParts[[#This Row],[Material]])&amp;"|"&amp;TEXT(tblParts[[#This Row],[Diameter_in]],"0.000")</f>
        <v>H13|1.750</v>
      </c>
    </row>
    <row r="210" spans="1:12" x14ac:dyDescent="0.25">
      <c r="A210" t="s">
        <v>530</v>
      </c>
      <c r="B210" t="s">
        <v>163</v>
      </c>
      <c r="C210" t="s">
        <v>9</v>
      </c>
      <c r="D210">
        <v>2</v>
      </c>
      <c r="E210">
        <v>15.259</v>
      </c>
      <c r="F210">
        <v>0.28599999999999998</v>
      </c>
      <c r="G210">
        <v>6</v>
      </c>
      <c r="H210">
        <v>0.115</v>
      </c>
      <c r="I210">
        <v>0.157</v>
      </c>
      <c r="J210">
        <f>IFERROR(N(tblParts[[#This Row],[FinishLen_in]])+N(tblParts[[#This Row],[ExtraStock_in]])+IF(OR(tblParts[[#This Row],[Kerf_in]]="",ISBLANK(tblParts[[#This Row],[Kerf_in]])),DefaultKerf_in,N(tblParts[[#This Row],[Kerf_in]]))+IF(OR(tblParts[[#This Row],[FaceAllow_in]]="",ISBLANK(tblParts[[#This Row],[FaceAllow_in]])),DefaultFaceAllow_in,N(tblParts[[#This Row],[FaceAllow_in]])),0)</f>
        <v>15.817</v>
      </c>
      <c r="K210">
        <f>IFERROR(N(tblParts[[#This Row],[Qty]])*N(tblParts[[#This Row],[RequiredCutLen_in]]),0)</f>
        <v>94.902000000000001</v>
      </c>
      <c r="L210" t="str">
        <f>TRIM(tblParts[[#This Row],[Material]])&amp;"|"&amp;TEXT(tblParts[[#This Row],[Diameter_in]],"0.000")</f>
        <v>Brass360|2.000</v>
      </c>
    </row>
  </sheetData>
  <dataValidations count="3">
    <dataValidation type="decimal" allowBlank="1" showInputMessage="1" showErrorMessage="1" errorTitle="Invalid Diameter" error="Diameter_in must be numeric and &gt; 0." promptTitle="Diameter_in" prompt="Enter a numeric diameter &gt; 0." sqref="D111:D610" xr:uid="{F5A31FBD-C5CE-4221-B471-A541F4B8FC80}">
      <formula1>0.000001</formula1>
      <formula2>1000000</formula2>
    </dataValidation>
    <dataValidation type="whole" allowBlank="1" showInputMessage="1" showErrorMessage="1" errorTitle="Invalid Qty" error="Qty must be a whole number &gt;= 1." promptTitle="Qty" prompt="Enter a whole number &gt;= 1." sqref="G111:G610" xr:uid="{2F2AB7F2-20B6-44CA-8E5C-D25158FEE316}">
      <formula1>1</formula1>
      <formula2>1000000</formula2>
    </dataValidation>
    <dataValidation type="list" allowBlank="1" showInputMessage="1" errorTitle="Material" error="Choose from list or type a new material." promptTitle="Material" prompt="Choose from list or type a new material." sqref="C111:C610" xr:uid="{076B1E18-CC40-4605-B5C0-0AE82083E0EF}">
      <formula1>Materials</formula1>
    </dataValidation>
  </dataValidations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574D2-DA64-4E04-96BD-F93D7B5E434C}">
  <sheetPr codeName="Sheet2"/>
  <dimension ref="A1:I21"/>
  <sheetViews>
    <sheetView workbookViewId="0"/>
  </sheetViews>
  <sheetFormatPr defaultRowHeight="15" x14ac:dyDescent="0.25"/>
  <cols>
    <col min="1" max="1" width="11.5703125" bestFit="1" customWidth="1"/>
    <col min="2" max="2" width="10.5703125" bestFit="1" customWidth="1"/>
    <col min="3" max="3" width="14.28515625" bestFit="1" customWidth="1"/>
    <col min="4" max="4" width="13.85546875" bestFit="1" customWidth="1"/>
    <col min="5" max="5" width="13.5703125" bestFit="1" customWidth="1"/>
    <col min="6" max="7" width="13.42578125" bestFit="1" customWidth="1"/>
    <col min="8" max="8" width="16.5703125" bestFit="1" customWidth="1"/>
    <col min="9" max="9" width="8.7109375" bestFit="1" customWidth="1"/>
  </cols>
  <sheetData>
    <row r="1" spans="1:9" s="1" customFormat="1" x14ac:dyDescent="0.25">
      <c r="A1" s="1" t="s">
        <v>35</v>
      </c>
      <c r="B1" s="1" t="s">
        <v>26</v>
      </c>
      <c r="C1" s="1" t="s">
        <v>27</v>
      </c>
      <c r="D1" s="1" t="s">
        <v>36</v>
      </c>
      <c r="E1" s="1" t="s">
        <v>37</v>
      </c>
      <c r="F1" s="1" t="s">
        <v>38</v>
      </c>
      <c r="G1" s="1" t="s">
        <v>39</v>
      </c>
      <c r="H1" s="1" t="s">
        <v>40</v>
      </c>
      <c r="I1" s="1" t="s">
        <v>41</v>
      </c>
    </row>
    <row r="2" spans="1:9" x14ac:dyDescent="0.25">
      <c r="A2" t="s">
        <v>164</v>
      </c>
      <c r="B2">
        <v>1018</v>
      </c>
      <c r="C2">
        <v>0.5</v>
      </c>
      <c r="D2">
        <v>821.50699999999995</v>
      </c>
      <c r="E2">
        <v>68.458917</v>
      </c>
      <c r="F2">
        <v>144</v>
      </c>
      <c r="H2" t="b">
        <v>1</v>
      </c>
    </row>
    <row r="3" spans="1:9" x14ac:dyDescent="0.25">
      <c r="A3" t="s">
        <v>165</v>
      </c>
      <c r="B3" t="s">
        <v>3</v>
      </c>
      <c r="C3">
        <v>0.625</v>
      </c>
      <c r="D3">
        <v>764.90200000000004</v>
      </c>
      <c r="E3">
        <v>63.741833</v>
      </c>
      <c r="F3">
        <v>144</v>
      </c>
      <c r="G3">
        <v>96</v>
      </c>
      <c r="H3" t="b">
        <v>0</v>
      </c>
    </row>
    <row r="4" spans="1:9" x14ac:dyDescent="0.25">
      <c r="A4" t="s">
        <v>166</v>
      </c>
      <c r="B4" t="s">
        <v>4</v>
      </c>
      <c r="C4">
        <v>1.125</v>
      </c>
      <c r="D4">
        <v>366.93200000000002</v>
      </c>
      <c r="E4">
        <v>30.577667000000002</v>
      </c>
      <c r="F4">
        <v>144</v>
      </c>
      <c r="H4" t="b">
        <v>1</v>
      </c>
    </row>
    <row r="5" spans="1:9" x14ac:dyDescent="0.25">
      <c r="A5" t="s">
        <v>167</v>
      </c>
      <c r="B5">
        <v>304</v>
      </c>
      <c r="C5">
        <v>1.25</v>
      </c>
      <c r="D5">
        <v>159.16300000000001</v>
      </c>
      <c r="E5">
        <v>13.263583000000001</v>
      </c>
      <c r="F5">
        <v>144</v>
      </c>
      <c r="G5">
        <v>96</v>
      </c>
      <c r="H5" t="b">
        <v>0</v>
      </c>
    </row>
    <row r="6" spans="1:9" x14ac:dyDescent="0.25">
      <c r="A6" t="s">
        <v>168</v>
      </c>
      <c r="B6">
        <v>316</v>
      </c>
      <c r="C6">
        <v>1.375</v>
      </c>
      <c r="D6">
        <v>642.18399999999997</v>
      </c>
      <c r="E6">
        <v>53.515332999999998</v>
      </c>
      <c r="F6">
        <v>144</v>
      </c>
      <c r="H6" t="b">
        <v>1</v>
      </c>
    </row>
    <row r="7" spans="1:9" x14ac:dyDescent="0.25">
      <c r="A7" t="s">
        <v>169</v>
      </c>
      <c r="B7">
        <v>4140</v>
      </c>
      <c r="C7">
        <v>0.75</v>
      </c>
      <c r="D7">
        <v>122.36499999999999</v>
      </c>
      <c r="E7">
        <v>10.197082999999999</v>
      </c>
      <c r="F7">
        <v>144</v>
      </c>
      <c r="G7">
        <v>96</v>
      </c>
      <c r="H7" t="b">
        <v>0</v>
      </c>
    </row>
    <row r="8" spans="1:9" x14ac:dyDescent="0.25">
      <c r="A8" t="s">
        <v>170</v>
      </c>
      <c r="B8">
        <v>4340</v>
      </c>
      <c r="C8">
        <v>0.875</v>
      </c>
      <c r="D8">
        <v>467.99700000000001</v>
      </c>
      <c r="E8">
        <v>38.999749999999999</v>
      </c>
      <c r="F8">
        <v>144</v>
      </c>
      <c r="H8" t="b">
        <v>1</v>
      </c>
    </row>
    <row r="9" spans="1:9" x14ac:dyDescent="0.25">
      <c r="A9" t="s">
        <v>171</v>
      </c>
      <c r="B9">
        <v>8620</v>
      </c>
      <c r="C9">
        <v>1</v>
      </c>
      <c r="D9">
        <v>393.95</v>
      </c>
      <c r="E9">
        <v>32.829166999999998</v>
      </c>
      <c r="F9">
        <v>144</v>
      </c>
      <c r="G9">
        <v>96</v>
      </c>
      <c r="H9" t="b">
        <v>0</v>
      </c>
    </row>
    <row r="10" spans="1:9" x14ac:dyDescent="0.25">
      <c r="A10" t="s">
        <v>172</v>
      </c>
      <c r="B10" t="s">
        <v>8</v>
      </c>
      <c r="C10">
        <v>1.875</v>
      </c>
      <c r="D10">
        <v>474.03500000000003</v>
      </c>
      <c r="E10">
        <v>39.502916999999997</v>
      </c>
      <c r="F10">
        <v>144</v>
      </c>
      <c r="H10" t="b">
        <v>1</v>
      </c>
    </row>
    <row r="11" spans="1:9" x14ac:dyDescent="0.25">
      <c r="A11" t="s">
        <v>173</v>
      </c>
      <c r="B11" t="s">
        <v>16</v>
      </c>
      <c r="C11">
        <v>4</v>
      </c>
      <c r="D11">
        <v>640.64</v>
      </c>
      <c r="E11">
        <v>53.386667000000003</v>
      </c>
      <c r="F11">
        <v>144</v>
      </c>
      <c r="G11">
        <v>96</v>
      </c>
      <c r="H11" t="b">
        <v>0</v>
      </c>
    </row>
    <row r="12" spans="1:9" x14ac:dyDescent="0.25">
      <c r="A12" t="s">
        <v>174</v>
      </c>
      <c r="B12" t="s">
        <v>10</v>
      </c>
      <c r="C12">
        <v>2.125</v>
      </c>
      <c r="D12">
        <v>44.517000000000003</v>
      </c>
      <c r="E12">
        <v>3.7097500000000001</v>
      </c>
      <c r="F12">
        <v>144</v>
      </c>
      <c r="H12" t="b">
        <v>1</v>
      </c>
    </row>
    <row r="13" spans="1:9" x14ac:dyDescent="0.25">
      <c r="A13" t="s">
        <v>175</v>
      </c>
      <c r="B13" t="s">
        <v>11</v>
      </c>
      <c r="C13">
        <v>2.25</v>
      </c>
      <c r="D13">
        <v>671.21600000000001</v>
      </c>
      <c r="E13">
        <v>55.934666999999997</v>
      </c>
      <c r="F13">
        <v>144</v>
      </c>
      <c r="G13">
        <v>96</v>
      </c>
      <c r="H13" t="b">
        <v>0</v>
      </c>
    </row>
    <row r="14" spans="1:9" x14ac:dyDescent="0.25">
      <c r="A14" t="s">
        <v>176</v>
      </c>
      <c r="B14" t="s">
        <v>9</v>
      </c>
      <c r="C14">
        <v>2</v>
      </c>
      <c r="D14">
        <v>465.36200000000002</v>
      </c>
      <c r="E14">
        <v>38.780166999999999</v>
      </c>
      <c r="F14">
        <v>144</v>
      </c>
      <c r="H14" t="b">
        <v>1</v>
      </c>
    </row>
    <row r="15" spans="1:9" x14ac:dyDescent="0.25">
      <c r="A15" t="s">
        <v>177</v>
      </c>
      <c r="B15" t="s">
        <v>6</v>
      </c>
      <c r="C15">
        <v>1.625</v>
      </c>
      <c r="D15">
        <v>761.56799999999998</v>
      </c>
      <c r="E15">
        <v>63.463999999999999</v>
      </c>
      <c r="F15">
        <v>144</v>
      </c>
      <c r="G15">
        <v>96</v>
      </c>
      <c r="H15" t="b">
        <v>0</v>
      </c>
    </row>
    <row r="16" spans="1:9" x14ac:dyDescent="0.25">
      <c r="A16" t="s">
        <v>178</v>
      </c>
      <c r="B16" t="s">
        <v>7</v>
      </c>
      <c r="C16">
        <v>1.75</v>
      </c>
      <c r="D16">
        <v>438.50099999999998</v>
      </c>
      <c r="E16">
        <v>36.54175</v>
      </c>
      <c r="F16">
        <v>144</v>
      </c>
      <c r="H16" t="b">
        <v>1</v>
      </c>
    </row>
    <row r="17" spans="1:8" x14ac:dyDescent="0.25">
      <c r="A17" t="s">
        <v>179</v>
      </c>
      <c r="B17" t="s">
        <v>14</v>
      </c>
      <c r="C17">
        <v>3</v>
      </c>
      <c r="D17">
        <v>881.96</v>
      </c>
      <c r="E17">
        <v>73.496667000000002</v>
      </c>
      <c r="F17">
        <v>144</v>
      </c>
      <c r="G17">
        <v>96</v>
      </c>
      <c r="H17" t="b">
        <v>0</v>
      </c>
    </row>
    <row r="18" spans="1:8" x14ac:dyDescent="0.25">
      <c r="A18" t="s">
        <v>180</v>
      </c>
      <c r="B18" t="s">
        <v>13</v>
      </c>
      <c r="C18">
        <v>2.75</v>
      </c>
      <c r="D18">
        <v>442.89299999999997</v>
      </c>
      <c r="E18">
        <v>36.90775</v>
      </c>
      <c r="F18">
        <v>144</v>
      </c>
      <c r="H18" t="b">
        <v>1</v>
      </c>
    </row>
    <row r="19" spans="1:8" x14ac:dyDescent="0.25">
      <c r="A19" t="s">
        <v>181</v>
      </c>
      <c r="B19" t="s">
        <v>5</v>
      </c>
      <c r="C19">
        <v>1.5</v>
      </c>
      <c r="D19">
        <v>319.42599999999999</v>
      </c>
      <c r="E19">
        <v>26.618832999999999</v>
      </c>
      <c r="F19">
        <v>144</v>
      </c>
      <c r="G19">
        <v>96</v>
      </c>
      <c r="H19" t="b">
        <v>0</v>
      </c>
    </row>
    <row r="20" spans="1:8" x14ac:dyDescent="0.25">
      <c r="A20" t="s">
        <v>182</v>
      </c>
      <c r="B20" t="s">
        <v>12</v>
      </c>
      <c r="C20">
        <v>2.5</v>
      </c>
      <c r="D20">
        <v>301.72399999999999</v>
      </c>
      <c r="E20">
        <v>25.143667000000001</v>
      </c>
      <c r="F20">
        <v>144</v>
      </c>
      <c r="H20" t="b">
        <v>1</v>
      </c>
    </row>
    <row r="21" spans="1:8" x14ac:dyDescent="0.25">
      <c r="A21" t="s">
        <v>183</v>
      </c>
      <c r="B21" t="s">
        <v>15</v>
      </c>
      <c r="C21">
        <v>3.5</v>
      </c>
      <c r="D21">
        <v>765.04399999999998</v>
      </c>
      <c r="E21">
        <v>63.753667</v>
      </c>
      <c r="F21">
        <v>144</v>
      </c>
      <c r="G21">
        <v>96</v>
      </c>
      <c r="H21" t="b">
        <v>0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AAAB2C-D37B-4C2A-A1E0-F2EF6D773700}">
  <sheetPr codeName="Sheet3"/>
  <dimension ref="A1:M21"/>
  <sheetViews>
    <sheetView workbookViewId="0"/>
  </sheetViews>
  <sheetFormatPr defaultRowHeight="15" x14ac:dyDescent="0.25"/>
  <cols>
    <col min="1" max="1" width="11.5703125" bestFit="1" customWidth="1"/>
    <col min="2" max="3" width="13.42578125" bestFit="1" customWidth="1"/>
    <col min="4" max="4" width="20.85546875" bestFit="1" customWidth="1"/>
    <col min="5" max="5" width="20.5703125" bestFit="1" customWidth="1"/>
    <col min="6" max="6" width="22.28515625" bestFit="1" customWidth="1"/>
    <col min="7" max="7" width="13.85546875" bestFit="1" customWidth="1"/>
    <col min="8" max="8" width="18.28515625" bestFit="1" customWidth="1"/>
    <col min="9" max="9" width="16.7109375" bestFit="1" customWidth="1"/>
    <col min="10" max="10" width="17.7109375" bestFit="1" customWidth="1"/>
    <col min="11" max="11" width="21" bestFit="1" customWidth="1"/>
    <col min="12" max="12" width="16" bestFit="1" customWidth="1"/>
    <col min="13" max="13" width="19.140625" bestFit="1" customWidth="1"/>
  </cols>
  <sheetData>
    <row r="1" spans="1:13" s="1" customFormat="1" x14ac:dyDescent="0.25">
      <c r="A1" s="1" t="s">
        <v>35</v>
      </c>
      <c r="B1" s="1" t="s">
        <v>38</v>
      </c>
      <c r="C1" s="1" t="s">
        <v>39</v>
      </c>
      <c r="D1" s="1" t="s">
        <v>42</v>
      </c>
      <c r="E1" s="1" t="s">
        <v>43</v>
      </c>
      <c r="F1" s="1" t="s">
        <v>44</v>
      </c>
      <c r="G1" s="1" t="s">
        <v>36</v>
      </c>
      <c r="H1" s="1" t="s">
        <v>45</v>
      </c>
      <c r="I1" s="1" t="s">
        <v>46</v>
      </c>
      <c r="J1" s="1" t="s">
        <v>47</v>
      </c>
      <c r="K1" s="1" t="s">
        <v>48</v>
      </c>
      <c r="L1" s="1" t="s">
        <v>49</v>
      </c>
      <c r="M1" s="1" t="s">
        <v>50</v>
      </c>
    </row>
    <row r="2" spans="1:13" x14ac:dyDescent="0.25">
      <c r="A2" t="s">
        <v>164</v>
      </c>
      <c r="B2">
        <v>144</v>
      </c>
      <c r="D2">
        <v>7</v>
      </c>
      <c r="E2">
        <v>6</v>
      </c>
      <c r="F2">
        <v>864</v>
      </c>
      <c r="G2">
        <v>821.50699999999995</v>
      </c>
      <c r="H2">
        <v>42.493000000000002</v>
      </c>
      <c r="I2">
        <v>4.9181999999999997E-2</v>
      </c>
      <c r="J2">
        <v>15.859</v>
      </c>
      <c r="K2">
        <v>26.634</v>
      </c>
      <c r="L2">
        <v>1.8355E-2</v>
      </c>
      <c r="M2">
        <v>3.0825999999999999E-2</v>
      </c>
    </row>
    <row r="3" spans="1:13" x14ac:dyDescent="0.25">
      <c r="A3" t="s">
        <v>165</v>
      </c>
      <c r="B3">
        <v>144</v>
      </c>
      <c r="C3">
        <v>96</v>
      </c>
      <c r="D3">
        <v>10</v>
      </c>
      <c r="E3">
        <v>9</v>
      </c>
      <c r="F3">
        <v>864</v>
      </c>
      <c r="G3">
        <v>764.90200000000004</v>
      </c>
      <c r="H3">
        <v>99.097999999999999</v>
      </c>
      <c r="I3">
        <v>0.11469699999999999</v>
      </c>
      <c r="J3">
        <v>49.231000000000002</v>
      </c>
      <c r="K3">
        <v>49.866999999999997</v>
      </c>
      <c r="L3">
        <v>5.6980000000000003E-2</v>
      </c>
      <c r="M3">
        <v>5.7716000000000003E-2</v>
      </c>
    </row>
    <row r="4" spans="1:13" x14ac:dyDescent="0.25">
      <c r="A4" t="s">
        <v>166</v>
      </c>
      <c r="B4">
        <v>144</v>
      </c>
      <c r="D4">
        <v>3</v>
      </c>
      <c r="E4">
        <v>3</v>
      </c>
      <c r="F4">
        <v>432</v>
      </c>
      <c r="G4">
        <v>366.93200000000002</v>
      </c>
      <c r="H4">
        <v>65.067999999999998</v>
      </c>
      <c r="I4">
        <v>0.15062</v>
      </c>
      <c r="J4">
        <v>5.8440000000000003</v>
      </c>
      <c r="K4">
        <v>59.223999999999997</v>
      </c>
      <c r="L4">
        <v>1.3528E-2</v>
      </c>
      <c r="M4">
        <v>0.13709299999999999</v>
      </c>
    </row>
    <row r="5" spans="1:13" x14ac:dyDescent="0.25">
      <c r="A5" t="s">
        <v>167</v>
      </c>
      <c r="B5">
        <v>144</v>
      </c>
      <c r="C5">
        <v>96</v>
      </c>
      <c r="D5">
        <v>2</v>
      </c>
      <c r="E5">
        <v>2</v>
      </c>
      <c r="F5">
        <v>192</v>
      </c>
      <c r="G5">
        <v>159.16300000000001</v>
      </c>
      <c r="H5">
        <v>32.837000000000003</v>
      </c>
      <c r="I5">
        <v>0.17102600000000001</v>
      </c>
      <c r="J5">
        <v>1.3129999999999999</v>
      </c>
      <c r="K5">
        <v>31.524000000000001</v>
      </c>
      <c r="L5">
        <v>6.8389999999999996E-3</v>
      </c>
      <c r="M5">
        <v>0.164188</v>
      </c>
    </row>
    <row r="6" spans="1:13" x14ac:dyDescent="0.25">
      <c r="A6" t="s">
        <v>168</v>
      </c>
      <c r="B6">
        <v>144</v>
      </c>
      <c r="D6">
        <v>5</v>
      </c>
      <c r="E6">
        <v>5</v>
      </c>
      <c r="F6">
        <v>720</v>
      </c>
      <c r="G6">
        <v>642.18399999999997</v>
      </c>
      <c r="H6">
        <v>77.816000000000003</v>
      </c>
      <c r="I6">
        <v>0.10807799999999999</v>
      </c>
      <c r="J6">
        <v>9.2799999999999994</v>
      </c>
      <c r="K6">
        <v>68.536000000000001</v>
      </c>
      <c r="L6">
        <v>1.2888999999999999E-2</v>
      </c>
      <c r="M6">
        <v>9.5188999999999996E-2</v>
      </c>
    </row>
    <row r="7" spans="1:13" x14ac:dyDescent="0.25">
      <c r="A7" t="s">
        <v>169</v>
      </c>
      <c r="B7">
        <v>144</v>
      </c>
      <c r="C7">
        <v>96</v>
      </c>
      <c r="D7">
        <v>2</v>
      </c>
      <c r="E7">
        <v>2</v>
      </c>
      <c r="F7">
        <v>192</v>
      </c>
      <c r="G7">
        <v>122.36499999999999</v>
      </c>
      <c r="H7">
        <v>69.635000000000005</v>
      </c>
      <c r="I7">
        <v>0.362682</v>
      </c>
      <c r="J7">
        <v>0</v>
      </c>
      <c r="K7">
        <v>69.635000000000005</v>
      </c>
      <c r="L7">
        <v>0</v>
      </c>
      <c r="M7">
        <v>0.362682</v>
      </c>
    </row>
    <row r="8" spans="1:13" x14ac:dyDescent="0.25">
      <c r="A8" t="s">
        <v>170</v>
      </c>
      <c r="B8">
        <v>144</v>
      </c>
      <c r="D8">
        <v>4</v>
      </c>
      <c r="E8">
        <v>4</v>
      </c>
      <c r="F8">
        <v>576</v>
      </c>
      <c r="G8">
        <v>467.99700000000001</v>
      </c>
      <c r="H8">
        <v>108.003</v>
      </c>
      <c r="I8">
        <v>0.18750500000000001</v>
      </c>
      <c r="J8">
        <v>14.747</v>
      </c>
      <c r="K8">
        <v>93.256</v>
      </c>
      <c r="L8">
        <v>2.5602E-2</v>
      </c>
      <c r="M8">
        <v>0.16190299999999999</v>
      </c>
    </row>
    <row r="9" spans="1:13" x14ac:dyDescent="0.25">
      <c r="A9" t="s">
        <v>171</v>
      </c>
      <c r="B9">
        <v>144</v>
      </c>
      <c r="C9">
        <v>96</v>
      </c>
      <c r="D9">
        <v>5</v>
      </c>
      <c r="E9">
        <v>5</v>
      </c>
      <c r="F9">
        <v>480</v>
      </c>
      <c r="G9">
        <v>393.95</v>
      </c>
      <c r="H9">
        <v>86.05</v>
      </c>
      <c r="I9">
        <v>0.17927100000000001</v>
      </c>
      <c r="J9">
        <v>14.916</v>
      </c>
      <c r="K9">
        <v>71.134</v>
      </c>
      <c r="L9">
        <v>3.1074999999999998E-2</v>
      </c>
      <c r="M9">
        <v>0.14819599999999999</v>
      </c>
    </row>
    <row r="10" spans="1:13" x14ac:dyDescent="0.25">
      <c r="A10" t="s">
        <v>172</v>
      </c>
      <c r="B10">
        <v>144</v>
      </c>
      <c r="D10">
        <v>4</v>
      </c>
      <c r="E10">
        <v>4</v>
      </c>
      <c r="F10">
        <v>576</v>
      </c>
      <c r="G10">
        <v>474.03500000000003</v>
      </c>
      <c r="H10">
        <v>101.965</v>
      </c>
      <c r="I10">
        <v>0.17702300000000001</v>
      </c>
      <c r="J10">
        <v>1.821</v>
      </c>
      <c r="K10">
        <v>100.14400000000001</v>
      </c>
      <c r="L10">
        <v>3.1610000000000002E-3</v>
      </c>
      <c r="M10">
        <v>0.17386099999999999</v>
      </c>
    </row>
    <row r="11" spans="1:13" x14ac:dyDescent="0.25">
      <c r="A11" t="s">
        <v>173</v>
      </c>
      <c r="B11">
        <v>144</v>
      </c>
      <c r="C11">
        <v>96</v>
      </c>
      <c r="D11">
        <v>8</v>
      </c>
      <c r="E11">
        <v>7</v>
      </c>
      <c r="F11">
        <v>672</v>
      </c>
      <c r="G11">
        <v>640.64</v>
      </c>
      <c r="H11">
        <v>31.36</v>
      </c>
      <c r="I11">
        <v>4.6667E-2</v>
      </c>
      <c r="J11">
        <v>9.1579999999999995</v>
      </c>
      <c r="K11">
        <v>22.202000000000002</v>
      </c>
      <c r="L11">
        <v>1.3627999999999999E-2</v>
      </c>
      <c r="M11">
        <v>3.3038999999999999E-2</v>
      </c>
    </row>
    <row r="12" spans="1:13" x14ac:dyDescent="0.25">
      <c r="A12" t="s">
        <v>174</v>
      </c>
      <c r="B12">
        <v>144</v>
      </c>
      <c r="D12">
        <v>1</v>
      </c>
      <c r="E12">
        <v>1</v>
      </c>
      <c r="F12">
        <v>144</v>
      </c>
      <c r="G12">
        <v>44.517000000000003</v>
      </c>
      <c r="H12">
        <v>99.483000000000004</v>
      </c>
      <c r="I12">
        <v>0.69085399999999997</v>
      </c>
      <c r="J12">
        <v>0</v>
      </c>
      <c r="K12">
        <v>99.483000000000004</v>
      </c>
      <c r="L12">
        <v>0</v>
      </c>
      <c r="M12">
        <v>0.69085399999999997</v>
      </c>
    </row>
    <row r="13" spans="1:13" x14ac:dyDescent="0.25">
      <c r="A13" t="s">
        <v>175</v>
      </c>
      <c r="B13">
        <v>144</v>
      </c>
      <c r="C13">
        <v>96</v>
      </c>
      <c r="D13">
        <v>9</v>
      </c>
      <c r="E13">
        <v>8</v>
      </c>
      <c r="F13">
        <v>768</v>
      </c>
      <c r="G13">
        <v>671.21600000000001</v>
      </c>
      <c r="H13">
        <v>96.784000000000006</v>
      </c>
      <c r="I13">
        <v>0.12602099999999999</v>
      </c>
      <c r="J13">
        <v>10.417999999999999</v>
      </c>
      <c r="K13">
        <v>86.366</v>
      </c>
      <c r="L13">
        <v>1.3565000000000001E-2</v>
      </c>
      <c r="M13">
        <v>0.112456</v>
      </c>
    </row>
    <row r="14" spans="1:13" x14ac:dyDescent="0.25">
      <c r="A14" t="s">
        <v>176</v>
      </c>
      <c r="B14">
        <v>144</v>
      </c>
      <c r="D14">
        <v>4</v>
      </c>
      <c r="E14">
        <v>4</v>
      </c>
      <c r="F14">
        <v>576</v>
      </c>
      <c r="G14">
        <v>465.36200000000002</v>
      </c>
      <c r="H14">
        <v>110.63800000000001</v>
      </c>
      <c r="I14">
        <v>0.19208</v>
      </c>
      <c r="J14">
        <v>14.089</v>
      </c>
      <c r="K14">
        <v>96.549000000000007</v>
      </c>
      <c r="L14">
        <v>2.4459999999999999E-2</v>
      </c>
      <c r="M14">
        <v>0.16761999999999999</v>
      </c>
    </row>
    <row r="15" spans="1:13" x14ac:dyDescent="0.25">
      <c r="A15" t="s">
        <v>177</v>
      </c>
      <c r="B15">
        <v>144</v>
      </c>
      <c r="C15">
        <v>96</v>
      </c>
      <c r="D15">
        <v>9</v>
      </c>
      <c r="E15">
        <v>9</v>
      </c>
      <c r="F15">
        <v>864</v>
      </c>
      <c r="G15">
        <v>761.56799999999998</v>
      </c>
      <c r="H15">
        <v>102.432</v>
      </c>
      <c r="I15">
        <v>0.11855599999999999</v>
      </c>
      <c r="J15">
        <v>33.43</v>
      </c>
      <c r="K15">
        <v>69.001999999999995</v>
      </c>
      <c r="L15">
        <v>3.8691999999999997E-2</v>
      </c>
      <c r="M15">
        <v>7.9863000000000003E-2</v>
      </c>
    </row>
    <row r="16" spans="1:13" x14ac:dyDescent="0.25">
      <c r="A16" t="s">
        <v>178</v>
      </c>
      <c r="B16">
        <v>144</v>
      </c>
      <c r="D16">
        <v>4</v>
      </c>
      <c r="E16">
        <v>4</v>
      </c>
      <c r="F16">
        <v>576</v>
      </c>
      <c r="G16">
        <v>438.50099999999998</v>
      </c>
      <c r="H16">
        <v>137.499</v>
      </c>
      <c r="I16">
        <v>0.23871400000000001</v>
      </c>
      <c r="J16">
        <v>12.725</v>
      </c>
      <c r="K16">
        <v>124.774</v>
      </c>
      <c r="L16">
        <v>2.2092000000000001E-2</v>
      </c>
      <c r="M16">
        <v>0.21662200000000001</v>
      </c>
    </row>
    <row r="17" spans="1:13" x14ac:dyDescent="0.25">
      <c r="A17" t="s">
        <v>179</v>
      </c>
      <c r="B17">
        <v>144</v>
      </c>
      <c r="C17">
        <v>96</v>
      </c>
      <c r="D17">
        <v>10</v>
      </c>
      <c r="E17">
        <v>10</v>
      </c>
      <c r="F17">
        <v>960</v>
      </c>
      <c r="G17">
        <v>881.96</v>
      </c>
      <c r="H17">
        <v>78.040000000000006</v>
      </c>
      <c r="I17">
        <v>8.1292000000000003E-2</v>
      </c>
      <c r="J17">
        <v>35.729999999999997</v>
      </c>
      <c r="K17">
        <v>42.31</v>
      </c>
      <c r="L17">
        <v>3.7219000000000002E-2</v>
      </c>
      <c r="M17">
        <v>4.4073000000000001E-2</v>
      </c>
    </row>
    <row r="18" spans="1:13" x14ac:dyDescent="0.25">
      <c r="A18" t="s">
        <v>180</v>
      </c>
      <c r="B18">
        <v>144</v>
      </c>
      <c r="D18">
        <v>4</v>
      </c>
      <c r="E18">
        <v>4</v>
      </c>
      <c r="F18">
        <v>576</v>
      </c>
      <c r="G18">
        <v>442.89299999999997</v>
      </c>
      <c r="H18">
        <v>133.107</v>
      </c>
      <c r="I18">
        <v>0.23108899999999999</v>
      </c>
      <c r="J18">
        <v>5.7930000000000001</v>
      </c>
      <c r="K18">
        <v>127.31399999999999</v>
      </c>
      <c r="L18">
        <v>1.0057E-2</v>
      </c>
      <c r="M18">
        <v>0.22103100000000001</v>
      </c>
    </row>
    <row r="19" spans="1:13" x14ac:dyDescent="0.25">
      <c r="A19" t="s">
        <v>181</v>
      </c>
      <c r="B19">
        <v>144</v>
      </c>
      <c r="C19">
        <v>96</v>
      </c>
      <c r="D19">
        <v>4</v>
      </c>
      <c r="E19">
        <v>4</v>
      </c>
      <c r="F19">
        <v>384</v>
      </c>
      <c r="G19">
        <v>319.42599999999999</v>
      </c>
      <c r="H19">
        <v>64.573999999999998</v>
      </c>
      <c r="I19">
        <v>0.168161</v>
      </c>
      <c r="J19">
        <v>7.9610000000000003</v>
      </c>
      <c r="K19">
        <v>56.613</v>
      </c>
      <c r="L19">
        <v>2.0732E-2</v>
      </c>
      <c r="M19">
        <v>0.14743000000000001</v>
      </c>
    </row>
    <row r="20" spans="1:13" x14ac:dyDescent="0.25">
      <c r="A20" t="s">
        <v>182</v>
      </c>
      <c r="B20">
        <v>144</v>
      </c>
      <c r="D20">
        <v>3</v>
      </c>
      <c r="E20">
        <v>3</v>
      </c>
      <c r="F20">
        <v>432</v>
      </c>
      <c r="G20">
        <v>301.72399999999999</v>
      </c>
      <c r="H20">
        <v>130.27600000000001</v>
      </c>
      <c r="I20">
        <v>0.30156500000000003</v>
      </c>
      <c r="J20">
        <v>16.231000000000002</v>
      </c>
      <c r="K20">
        <v>114.045</v>
      </c>
      <c r="L20">
        <v>3.7572000000000001E-2</v>
      </c>
      <c r="M20">
        <v>0.26399299999999998</v>
      </c>
    </row>
    <row r="21" spans="1:13" x14ac:dyDescent="0.25">
      <c r="A21" t="s">
        <v>183</v>
      </c>
      <c r="B21">
        <v>144</v>
      </c>
      <c r="C21">
        <v>96</v>
      </c>
      <c r="D21">
        <v>10</v>
      </c>
      <c r="E21">
        <v>9</v>
      </c>
      <c r="F21">
        <v>864</v>
      </c>
      <c r="G21">
        <v>765.04399999999998</v>
      </c>
      <c r="H21">
        <v>98.956000000000003</v>
      </c>
      <c r="I21">
        <v>0.11453199999999999</v>
      </c>
      <c r="J21">
        <v>40.024000000000001</v>
      </c>
      <c r="K21">
        <v>58.932000000000002</v>
      </c>
      <c r="L21">
        <v>4.6323999999999997E-2</v>
      </c>
      <c r="M21">
        <v>6.8208000000000005E-2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347251-E544-4CB6-88AE-394577625C53}">
  <sheetPr codeName="Sheet4"/>
  <dimension ref="A1:J369"/>
  <sheetViews>
    <sheetView workbookViewId="0"/>
  </sheetViews>
  <sheetFormatPr defaultRowHeight="15" x14ac:dyDescent="0.25"/>
  <cols>
    <col min="1" max="1" width="9.28515625" bestFit="1" customWidth="1"/>
    <col min="2" max="2" width="10.140625" bestFit="1" customWidth="1"/>
    <col min="3" max="3" width="8" bestFit="1" customWidth="1"/>
    <col min="4" max="4" width="10.140625" bestFit="1" customWidth="1"/>
    <col min="5" max="5" width="4.85546875" bestFit="1" customWidth="1"/>
    <col min="6" max="6" width="19.42578125" bestFit="1" customWidth="1"/>
    <col min="7" max="7" width="17.85546875" bestFit="1" customWidth="1"/>
    <col min="8" max="8" width="8.85546875" bestFit="1" customWidth="1"/>
    <col min="9" max="9" width="16.5703125" bestFit="1" customWidth="1"/>
    <col min="10" max="10" width="15" bestFit="1" customWidth="1"/>
  </cols>
  <sheetData>
    <row r="1" spans="1:10" x14ac:dyDescent="0.25">
      <c r="A1" t="s">
        <v>35</v>
      </c>
      <c r="B1" t="s">
        <v>51</v>
      </c>
      <c r="C1" t="s">
        <v>52</v>
      </c>
      <c r="D1" t="s">
        <v>53</v>
      </c>
      <c r="E1" t="s">
        <v>54</v>
      </c>
      <c r="F1" t="s">
        <v>55</v>
      </c>
      <c r="G1" t="s">
        <v>56</v>
      </c>
      <c r="H1" t="s">
        <v>57</v>
      </c>
      <c r="I1" t="s">
        <v>58</v>
      </c>
      <c r="J1" t="s">
        <v>59</v>
      </c>
    </row>
    <row r="2" spans="1:10" x14ac:dyDescent="0.25">
      <c r="A2" t="s">
        <v>164</v>
      </c>
      <c r="B2">
        <v>144</v>
      </c>
      <c r="C2" t="s">
        <v>185</v>
      </c>
      <c r="D2">
        <v>39.756999999999998</v>
      </c>
      <c r="E2">
        <v>1</v>
      </c>
      <c r="F2">
        <v>144</v>
      </c>
      <c r="G2">
        <v>104.24299999999999</v>
      </c>
      <c r="H2" t="b">
        <v>0</v>
      </c>
    </row>
    <row r="3" spans="1:10" x14ac:dyDescent="0.25">
      <c r="A3" t="s">
        <v>164</v>
      </c>
      <c r="B3">
        <v>144</v>
      </c>
      <c r="C3" t="s">
        <v>186</v>
      </c>
      <c r="D3">
        <v>39.756999999999998</v>
      </c>
      <c r="E3">
        <v>1</v>
      </c>
      <c r="F3">
        <v>104.24299999999999</v>
      </c>
      <c r="G3">
        <v>64.486000000000004</v>
      </c>
      <c r="H3" t="b">
        <v>0</v>
      </c>
    </row>
    <row r="4" spans="1:10" x14ac:dyDescent="0.25">
      <c r="A4" t="s">
        <v>164</v>
      </c>
      <c r="B4">
        <v>144</v>
      </c>
      <c r="C4" t="s">
        <v>188</v>
      </c>
      <c r="D4">
        <v>39.756999999999998</v>
      </c>
      <c r="E4">
        <v>1</v>
      </c>
      <c r="F4">
        <v>64.486000000000004</v>
      </c>
      <c r="G4">
        <v>24.728999999999999</v>
      </c>
      <c r="H4" t="b">
        <v>1</v>
      </c>
      <c r="I4">
        <v>24.728999999999999</v>
      </c>
      <c r="J4" t="s">
        <v>187</v>
      </c>
    </row>
    <row r="5" spans="1:10" x14ac:dyDescent="0.25">
      <c r="A5" t="s">
        <v>164</v>
      </c>
      <c r="B5">
        <v>144</v>
      </c>
      <c r="C5" t="s">
        <v>471</v>
      </c>
      <c r="D5">
        <v>39.756999999999998</v>
      </c>
      <c r="E5">
        <v>2</v>
      </c>
      <c r="F5">
        <v>144</v>
      </c>
      <c r="G5">
        <v>104.24299999999999</v>
      </c>
      <c r="H5" t="b">
        <v>0</v>
      </c>
    </row>
    <row r="6" spans="1:10" x14ac:dyDescent="0.25">
      <c r="A6" t="s">
        <v>164</v>
      </c>
      <c r="B6">
        <v>144</v>
      </c>
      <c r="C6" t="s">
        <v>531</v>
      </c>
      <c r="D6">
        <v>39.756999999999998</v>
      </c>
      <c r="E6">
        <v>2</v>
      </c>
      <c r="F6">
        <v>104.24299999999999</v>
      </c>
      <c r="G6">
        <v>64.486000000000004</v>
      </c>
      <c r="H6" t="b">
        <v>0</v>
      </c>
    </row>
    <row r="7" spans="1:10" x14ac:dyDescent="0.25">
      <c r="A7" t="s">
        <v>164</v>
      </c>
      <c r="B7">
        <v>144</v>
      </c>
      <c r="C7" t="s">
        <v>532</v>
      </c>
      <c r="D7">
        <v>39.756999999999998</v>
      </c>
      <c r="E7">
        <v>2</v>
      </c>
      <c r="F7">
        <v>64.486000000000004</v>
      </c>
      <c r="G7">
        <v>24.728999999999999</v>
      </c>
      <c r="H7" t="b">
        <v>1</v>
      </c>
      <c r="I7">
        <v>24.728999999999999</v>
      </c>
      <c r="J7" t="s">
        <v>187</v>
      </c>
    </row>
    <row r="8" spans="1:10" x14ac:dyDescent="0.25">
      <c r="A8" t="s">
        <v>164</v>
      </c>
      <c r="B8">
        <v>144</v>
      </c>
      <c r="C8" t="s">
        <v>399</v>
      </c>
      <c r="D8">
        <v>38.548000000000002</v>
      </c>
      <c r="E8">
        <v>3</v>
      </c>
      <c r="F8">
        <v>144</v>
      </c>
      <c r="G8">
        <v>105.452</v>
      </c>
      <c r="H8" t="b">
        <v>0</v>
      </c>
    </row>
    <row r="9" spans="1:10" x14ac:dyDescent="0.25">
      <c r="A9" t="s">
        <v>164</v>
      </c>
      <c r="B9">
        <v>144</v>
      </c>
      <c r="C9" t="s">
        <v>400</v>
      </c>
      <c r="D9">
        <v>38.548000000000002</v>
      </c>
      <c r="E9">
        <v>3</v>
      </c>
      <c r="F9">
        <v>105.452</v>
      </c>
      <c r="G9">
        <v>66.903999999999996</v>
      </c>
      <c r="H9" t="b">
        <v>0</v>
      </c>
    </row>
    <row r="10" spans="1:10" x14ac:dyDescent="0.25">
      <c r="A10" t="s">
        <v>164</v>
      </c>
      <c r="B10">
        <v>144</v>
      </c>
      <c r="C10" t="s">
        <v>485</v>
      </c>
      <c r="D10">
        <v>38.548000000000002</v>
      </c>
      <c r="E10">
        <v>3</v>
      </c>
      <c r="F10">
        <v>66.903999999999996</v>
      </c>
      <c r="G10">
        <v>28.356000000000002</v>
      </c>
      <c r="H10" t="b">
        <v>1</v>
      </c>
      <c r="I10">
        <v>28.356000000000002</v>
      </c>
      <c r="J10" t="s">
        <v>187</v>
      </c>
    </row>
    <row r="11" spans="1:10" x14ac:dyDescent="0.25">
      <c r="A11" t="s">
        <v>164</v>
      </c>
      <c r="B11">
        <v>144</v>
      </c>
      <c r="C11" t="s">
        <v>486</v>
      </c>
      <c r="D11">
        <v>38.548000000000002</v>
      </c>
      <c r="E11">
        <v>4</v>
      </c>
      <c r="F11">
        <v>144</v>
      </c>
      <c r="G11">
        <v>105.452</v>
      </c>
      <c r="H11" t="b">
        <v>0</v>
      </c>
    </row>
    <row r="12" spans="1:10" x14ac:dyDescent="0.25">
      <c r="A12" t="s">
        <v>164</v>
      </c>
      <c r="B12">
        <v>144</v>
      </c>
      <c r="C12" t="s">
        <v>533</v>
      </c>
      <c r="D12">
        <v>38.548000000000002</v>
      </c>
      <c r="E12">
        <v>4</v>
      </c>
      <c r="F12">
        <v>105.452</v>
      </c>
      <c r="G12">
        <v>66.903999999999996</v>
      </c>
      <c r="H12" t="b">
        <v>0</v>
      </c>
    </row>
    <row r="13" spans="1:10" x14ac:dyDescent="0.25">
      <c r="A13" t="s">
        <v>164</v>
      </c>
      <c r="B13">
        <v>144</v>
      </c>
      <c r="C13" t="s">
        <v>534</v>
      </c>
      <c r="D13">
        <v>38.548000000000002</v>
      </c>
      <c r="E13">
        <v>4</v>
      </c>
      <c r="F13">
        <v>66.903999999999996</v>
      </c>
      <c r="G13">
        <v>28.356000000000002</v>
      </c>
      <c r="H13" t="b">
        <v>1</v>
      </c>
      <c r="I13">
        <v>28.356000000000002</v>
      </c>
      <c r="J13" t="s">
        <v>187</v>
      </c>
    </row>
    <row r="14" spans="1:10" x14ac:dyDescent="0.25">
      <c r="A14" t="s">
        <v>164</v>
      </c>
      <c r="B14">
        <v>144</v>
      </c>
      <c r="C14" t="s">
        <v>207</v>
      </c>
      <c r="D14">
        <v>29.111999999999998</v>
      </c>
      <c r="E14">
        <v>5</v>
      </c>
      <c r="F14">
        <v>144</v>
      </c>
      <c r="G14">
        <v>114.88800000000001</v>
      </c>
      <c r="H14" t="b">
        <v>0</v>
      </c>
    </row>
    <row r="15" spans="1:10" x14ac:dyDescent="0.25">
      <c r="A15" t="s">
        <v>164</v>
      </c>
      <c r="B15">
        <v>144</v>
      </c>
      <c r="C15" t="s">
        <v>208</v>
      </c>
      <c r="D15">
        <v>29.111999999999998</v>
      </c>
      <c r="E15">
        <v>5</v>
      </c>
      <c r="F15">
        <v>114.88800000000001</v>
      </c>
      <c r="G15">
        <v>85.775999999999996</v>
      </c>
      <c r="H15" t="b">
        <v>0</v>
      </c>
    </row>
    <row r="16" spans="1:10" x14ac:dyDescent="0.25">
      <c r="A16" t="s">
        <v>164</v>
      </c>
      <c r="B16">
        <v>144</v>
      </c>
      <c r="C16" t="s">
        <v>209</v>
      </c>
      <c r="D16">
        <v>29.111999999999998</v>
      </c>
      <c r="E16">
        <v>5</v>
      </c>
      <c r="F16">
        <v>85.775999999999996</v>
      </c>
      <c r="G16">
        <v>56.664000000000001</v>
      </c>
      <c r="H16" t="b">
        <v>0</v>
      </c>
    </row>
    <row r="17" spans="1:10" x14ac:dyDescent="0.25">
      <c r="A17" t="s">
        <v>164</v>
      </c>
      <c r="B17">
        <v>144</v>
      </c>
      <c r="C17" t="s">
        <v>210</v>
      </c>
      <c r="D17">
        <v>29.111999999999998</v>
      </c>
      <c r="E17">
        <v>5</v>
      </c>
      <c r="F17">
        <v>56.664000000000001</v>
      </c>
      <c r="G17">
        <v>27.552</v>
      </c>
      <c r="H17" t="b">
        <v>1</v>
      </c>
      <c r="I17">
        <v>27.552</v>
      </c>
      <c r="J17" t="s">
        <v>187</v>
      </c>
    </row>
    <row r="18" spans="1:10" x14ac:dyDescent="0.25">
      <c r="A18" t="s">
        <v>164</v>
      </c>
      <c r="B18">
        <v>144</v>
      </c>
      <c r="C18" t="s">
        <v>535</v>
      </c>
      <c r="D18">
        <v>29.111999999999998</v>
      </c>
      <c r="E18">
        <v>6</v>
      </c>
      <c r="F18">
        <v>144</v>
      </c>
      <c r="G18">
        <v>114.88800000000001</v>
      </c>
      <c r="H18" t="b">
        <v>0</v>
      </c>
    </row>
    <row r="19" spans="1:10" x14ac:dyDescent="0.25">
      <c r="A19" t="s">
        <v>164</v>
      </c>
      <c r="B19">
        <v>144</v>
      </c>
      <c r="C19" t="s">
        <v>536</v>
      </c>
      <c r="D19">
        <v>29.111999999999998</v>
      </c>
      <c r="E19">
        <v>6</v>
      </c>
      <c r="F19">
        <v>114.88800000000001</v>
      </c>
      <c r="G19">
        <v>85.775999999999996</v>
      </c>
      <c r="H19" t="b">
        <v>0</v>
      </c>
    </row>
    <row r="20" spans="1:10" x14ac:dyDescent="0.25">
      <c r="A20" t="s">
        <v>164</v>
      </c>
      <c r="B20">
        <v>144</v>
      </c>
      <c r="C20" t="s">
        <v>421</v>
      </c>
      <c r="D20">
        <v>28.442</v>
      </c>
      <c r="E20">
        <v>6</v>
      </c>
      <c r="F20">
        <v>85.775999999999996</v>
      </c>
      <c r="G20">
        <v>57.334000000000003</v>
      </c>
      <c r="H20" t="b">
        <v>0</v>
      </c>
    </row>
    <row r="21" spans="1:10" x14ac:dyDescent="0.25">
      <c r="A21" t="s">
        <v>164</v>
      </c>
      <c r="B21">
        <v>144</v>
      </c>
      <c r="C21" t="s">
        <v>422</v>
      </c>
      <c r="D21">
        <v>28.442</v>
      </c>
      <c r="E21">
        <v>6</v>
      </c>
      <c r="F21">
        <v>57.334000000000003</v>
      </c>
      <c r="G21">
        <v>28.891999999999999</v>
      </c>
      <c r="H21" t="b">
        <v>0</v>
      </c>
    </row>
    <row r="22" spans="1:10" x14ac:dyDescent="0.25">
      <c r="A22" t="s">
        <v>164</v>
      </c>
      <c r="B22">
        <v>144</v>
      </c>
      <c r="C22" t="s">
        <v>277</v>
      </c>
      <c r="D22">
        <v>27.753</v>
      </c>
      <c r="E22">
        <v>6</v>
      </c>
      <c r="F22">
        <v>28.891999999999999</v>
      </c>
      <c r="G22">
        <v>1.139</v>
      </c>
      <c r="H22" t="b">
        <v>1</v>
      </c>
      <c r="I22">
        <v>1.139</v>
      </c>
      <c r="J22" t="s">
        <v>197</v>
      </c>
    </row>
    <row r="23" spans="1:10" x14ac:dyDescent="0.25">
      <c r="A23" t="s">
        <v>164</v>
      </c>
      <c r="B23">
        <v>144</v>
      </c>
      <c r="C23" t="s">
        <v>278</v>
      </c>
      <c r="D23">
        <v>27.753</v>
      </c>
      <c r="E23">
        <v>7</v>
      </c>
      <c r="F23">
        <v>144</v>
      </c>
      <c r="G23">
        <v>116.247</v>
      </c>
      <c r="H23" t="b">
        <v>0</v>
      </c>
    </row>
    <row r="24" spans="1:10" x14ac:dyDescent="0.25">
      <c r="A24" t="s">
        <v>164</v>
      </c>
      <c r="B24">
        <v>144</v>
      </c>
      <c r="C24" t="s">
        <v>350</v>
      </c>
      <c r="D24">
        <v>14.904999999999999</v>
      </c>
      <c r="E24">
        <v>7</v>
      </c>
      <c r="F24">
        <v>116.247</v>
      </c>
      <c r="G24">
        <v>101.342</v>
      </c>
      <c r="H24" t="b">
        <v>0</v>
      </c>
    </row>
    <row r="25" spans="1:10" x14ac:dyDescent="0.25">
      <c r="A25" t="s">
        <v>164</v>
      </c>
      <c r="B25">
        <v>144</v>
      </c>
      <c r="C25" t="s">
        <v>351</v>
      </c>
      <c r="D25">
        <v>14.904999999999999</v>
      </c>
      <c r="E25">
        <v>7</v>
      </c>
      <c r="F25">
        <v>101.342</v>
      </c>
      <c r="G25">
        <v>86.436999999999998</v>
      </c>
      <c r="H25" t="b">
        <v>0</v>
      </c>
    </row>
    <row r="26" spans="1:10" x14ac:dyDescent="0.25">
      <c r="A26" t="s">
        <v>164</v>
      </c>
      <c r="B26">
        <v>144</v>
      </c>
      <c r="C26" t="s">
        <v>352</v>
      </c>
      <c r="D26">
        <v>14.904999999999999</v>
      </c>
      <c r="E26">
        <v>7</v>
      </c>
      <c r="F26">
        <v>86.436999999999998</v>
      </c>
      <c r="G26">
        <v>71.531999999999996</v>
      </c>
      <c r="H26" t="b">
        <v>0</v>
      </c>
    </row>
    <row r="27" spans="1:10" x14ac:dyDescent="0.25">
      <c r="A27" t="s">
        <v>164</v>
      </c>
      <c r="B27">
        <v>144</v>
      </c>
      <c r="C27" t="s">
        <v>524</v>
      </c>
      <c r="D27">
        <v>14.904999999999999</v>
      </c>
      <c r="E27">
        <v>7</v>
      </c>
      <c r="F27">
        <v>71.531999999999996</v>
      </c>
      <c r="G27">
        <v>56.627000000000002</v>
      </c>
      <c r="H27" t="b">
        <v>0</v>
      </c>
    </row>
    <row r="28" spans="1:10" x14ac:dyDescent="0.25">
      <c r="A28" t="s">
        <v>164</v>
      </c>
      <c r="B28">
        <v>144</v>
      </c>
      <c r="C28" t="s">
        <v>271</v>
      </c>
      <c r="D28">
        <v>4.9950000000000001</v>
      </c>
      <c r="E28">
        <v>7</v>
      </c>
      <c r="F28">
        <v>56.627000000000002</v>
      </c>
      <c r="G28">
        <v>51.631999999999998</v>
      </c>
      <c r="H28" t="b">
        <v>1</v>
      </c>
      <c r="I28">
        <v>51.631999999999998</v>
      </c>
      <c r="J28" t="s">
        <v>187</v>
      </c>
    </row>
    <row r="29" spans="1:10" x14ac:dyDescent="0.25">
      <c r="A29" t="s">
        <v>165</v>
      </c>
      <c r="B29">
        <v>96</v>
      </c>
      <c r="C29" t="s">
        <v>439</v>
      </c>
      <c r="D29">
        <v>44.473999999999997</v>
      </c>
      <c r="E29">
        <v>1</v>
      </c>
      <c r="F29">
        <v>96</v>
      </c>
      <c r="G29">
        <v>51.526000000000003</v>
      </c>
      <c r="H29" t="b">
        <v>0</v>
      </c>
    </row>
    <row r="30" spans="1:10" x14ac:dyDescent="0.25">
      <c r="A30" t="s">
        <v>165</v>
      </c>
      <c r="B30">
        <v>96</v>
      </c>
      <c r="C30" t="s">
        <v>440</v>
      </c>
      <c r="D30">
        <v>44.473999999999997</v>
      </c>
      <c r="E30">
        <v>1</v>
      </c>
      <c r="F30">
        <v>51.526000000000003</v>
      </c>
      <c r="G30">
        <v>7.0519999999999996</v>
      </c>
      <c r="H30" t="b">
        <v>1</v>
      </c>
      <c r="I30">
        <v>7.0519999999999996</v>
      </c>
      <c r="J30" t="s">
        <v>197</v>
      </c>
    </row>
    <row r="31" spans="1:10" x14ac:dyDescent="0.25">
      <c r="A31" t="s">
        <v>165</v>
      </c>
      <c r="B31">
        <v>96</v>
      </c>
      <c r="C31" t="s">
        <v>441</v>
      </c>
      <c r="D31">
        <v>44.473999999999997</v>
      </c>
      <c r="E31">
        <v>2</v>
      </c>
      <c r="F31">
        <v>96</v>
      </c>
      <c r="G31">
        <v>51.526000000000003</v>
      </c>
      <c r="H31" t="b">
        <v>0</v>
      </c>
    </row>
    <row r="32" spans="1:10" x14ac:dyDescent="0.25">
      <c r="A32" t="s">
        <v>165</v>
      </c>
      <c r="B32">
        <v>96</v>
      </c>
      <c r="C32" t="s">
        <v>442</v>
      </c>
      <c r="D32">
        <v>44.473999999999997</v>
      </c>
      <c r="E32">
        <v>2</v>
      </c>
      <c r="F32">
        <v>51.526000000000003</v>
      </c>
      <c r="G32">
        <v>7.0519999999999996</v>
      </c>
      <c r="H32" t="b">
        <v>1</v>
      </c>
      <c r="I32">
        <v>7.0519999999999996</v>
      </c>
      <c r="J32" t="s">
        <v>197</v>
      </c>
    </row>
    <row r="33" spans="1:10" x14ac:dyDescent="0.25">
      <c r="A33" t="s">
        <v>165</v>
      </c>
      <c r="B33">
        <v>96</v>
      </c>
      <c r="C33" t="s">
        <v>465</v>
      </c>
      <c r="D33">
        <v>44.473999999999997</v>
      </c>
      <c r="E33">
        <v>3</v>
      </c>
      <c r="F33">
        <v>96</v>
      </c>
      <c r="G33">
        <v>51.526000000000003</v>
      </c>
      <c r="H33" t="b">
        <v>0</v>
      </c>
    </row>
    <row r="34" spans="1:10" x14ac:dyDescent="0.25">
      <c r="A34" t="s">
        <v>165</v>
      </c>
      <c r="B34">
        <v>96</v>
      </c>
      <c r="C34" t="s">
        <v>390</v>
      </c>
      <c r="D34">
        <v>39.915999999999997</v>
      </c>
      <c r="E34">
        <v>3</v>
      </c>
      <c r="F34">
        <v>51.526000000000003</v>
      </c>
      <c r="G34">
        <v>11.61</v>
      </c>
      <c r="H34" t="b">
        <v>1</v>
      </c>
      <c r="I34">
        <v>11.61</v>
      </c>
      <c r="J34" t="s">
        <v>197</v>
      </c>
    </row>
    <row r="35" spans="1:10" x14ac:dyDescent="0.25">
      <c r="A35" t="s">
        <v>165</v>
      </c>
      <c r="B35">
        <v>96</v>
      </c>
      <c r="C35" t="s">
        <v>510</v>
      </c>
      <c r="D35">
        <v>39.915999999999997</v>
      </c>
      <c r="E35">
        <v>4</v>
      </c>
      <c r="F35">
        <v>96</v>
      </c>
      <c r="G35">
        <v>56.084000000000003</v>
      </c>
      <c r="H35" t="b">
        <v>0</v>
      </c>
    </row>
    <row r="36" spans="1:10" x14ac:dyDescent="0.25">
      <c r="A36" t="s">
        <v>165</v>
      </c>
      <c r="B36">
        <v>96</v>
      </c>
      <c r="C36" t="s">
        <v>511</v>
      </c>
      <c r="D36">
        <v>39.915999999999997</v>
      </c>
      <c r="E36">
        <v>4</v>
      </c>
      <c r="F36">
        <v>56.084000000000003</v>
      </c>
      <c r="G36">
        <v>16.167999999999999</v>
      </c>
      <c r="H36" t="b">
        <v>1</v>
      </c>
      <c r="I36">
        <v>16.167999999999999</v>
      </c>
      <c r="J36" t="s">
        <v>187</v>
      </c>
    </row>
    <row r="37" spans="1:10" x14ac:dyDescent="0.25">
      <c r="A37" t="s">
        <v>165</v>
      </c>
      <c r="B37">
        <v>96</v>
      </c>
      <c r="C37" t="s">
        <v>512</v>
      </c>
      <c r="D37">
        <v>39.915999999999997</v>
      </c>
      <c r="E37">
        <v>5</v>
      </c>
      <c r="F37">
        <v>96</v>
      </c>
      <c r="G37">
        <v>56.084000000000003</v>
      </c>
      <c r="H37" t="b">
        <v>0</v>
      </c>
    </row>
    <row r="38" spans="1:10" x14ac:dyDescent="0.25">
      <c r="A38" t="s">
        <v>165</v>
      </c>
      <c r="B38">
        <v>96</v>
      </c>
      <c r="C38" t="s">
        <v>513</v>
      </c>
      <c r="D38">
        <v>39.915999999999997</v>
      </c>
      <c r="E38">
        <v>5</v>
      </c>
      <c r="F38">
        <v>56.084000000000003</v>
      </c>
      <c r="G38">
        <v>16.167999999999999</v>
      </c>
      <c r="H38" t="b">
        <v>1</v>
      </c>
      <c r="I38">
        <v>16.167999999999999</v>
      </c>
      <c r="J38" t="s">
        <v>187</v>
      </c>
    </row>
    <row r="39" spans="1:10" x14ac:dyDescent="0.25">
      <c r="A39" t="s">
        <v>165</v>
      </c>
      <c r="B39">
        <v>96</v>
      </c>
      <c r="C39" t="s">
        <v>537</v>
      </c>
      <c r="D39">
        <v>39.915999999999997</v>
      </c>
      <c r="E39">
        <v>6</v>
      </c>
      <c r="F39">
        <v>96</v>
      </c>
      <c r="G39">
        <v>56.084000000000003</v>
      </c>
      <c r="H39" t="b">
        <v>0</v>
      </c>
    </row>
    <row r="40" spans="1:10" x14ac:dyDescent="0.25">
      <c r="A40" t="s">
        <v>165</v>
      </c>
      <c r="B40">
        <v>96</v>
      </c>
      <c r="C40" t="s">
        <v>346</v>
      </c>
      <c r="D40">
        <v>34.918999999999997</v>
      </c>
      <c r="E40">
        <v>6</v>
      </c>
      <c r="F40">
        <v>56.084000000000003</v>
      </c>
      <c r="G40">
        <v>21.164999999999999</v>
      </c>
      <c r="H40" t="b">
        <v>1</v>
      </c>
      <c r="I40">
        <v>21.164999999999999</v>
      </c>
      <c r="J40" t="s">
        <v>187</v>
      </c>
    </row>
    <row r="41" spans="1:10" x14ac:dyDescent="0.25">
      <c r="A41" t="s">
        <v>165</v>
      </c>
      <c r="B41">
        <v>96</v>
      </c>
      <c r="C41" t="s">
        <v>347</v>
      </c>
      <c r="D41">
        <v>34.918999999999997</v>
      </c>
      <c r="E41">
        <v>7</v>
      </c>
      <c r="F41">
        <v>96</v>
      </c>
      <c r="G41">
        <v>61.081000000000003</v>
      </c>
      <c r="H41" t="b">
        <v>0</v>
      </c>
    </row>
    <row r="42" spans="1:10" x14ac:dyDescent="0.25">
      <c r="A42" t="s">
        <v>165</v>
      </c>
      <c r="B42">
        <v>96</v>
      </c>
      <c r="C42" t="s">
        <v>348</v>
      </c>
      <c r="D42">
        <v>34.918999999999997</v>
      </c>
      <c r="E42">
        <v>7</v>
      </c>
      <c r="F42">
        <v>61.081000000000003</v>
      </c>
      <c r="G42">
        <v>26.161999999999999</v>
      </c>
      <c r="H42" t="b">
        <v>1</v>
      </c>
      <c r="I42">
        <v>26.161999999999999</v>
      </c>
      <c r="J42" t="s">
        <v>187</v>
      </c>
    </row>
    <row r="43" spans="1:10" x14ac:dyDescent="0.25">
      <c r="A43" t="s">
        <v>165</v>
      </c>
      <c r="B43">
        <v>96</v>
      </c>
      <c r="C43" t="s">
        <v>349</v>
      </c>
      <c r="D43">
        <v>34.918999999999997</v>
      </c>
      <c r="E43">
        <v>8</v>
      </c>
      <c r="F43">
        <v>96</v>
      </c>
      <c r="G43">
        <v>61.081000000000003</v>
      </c>
      <c r="H43" t="b">
        <v>0</v>
      </c>
    </row>
    <row r="44" spans="1:10" x14ac:dyDescent="0.25">
      <c r="A44" t="s">
        <v>165</v>
      </c>
      <c r="B44">
        <v>96</v>
      </c>
      <c r="C44" t="s">
        <v>452</v>
      </c>
      <c r="D44">
        <v>34.918999999999997</v>
      </c>
      <c r="E44">
        <v>8</v>
      </c>
      <c r="F44">
        <v>61.081000000000003</v>
      </c>
      <c r="G44">
        <v>26.161999999999999</v>
      </c>
      <c r="H44" t="b">
        <v>1</v>
      </c>
      <c r="I44">
        <v>26.161999999999999</v>
      </c>
      <c r="J44" t="s">
        <v>187</v>
      </c>
    </row>
    <row r="45" spans="1:10" x14ac:dyDescent="0.25">
      <c r="A45" t="s">
        <v>165</v>
      </c>
      <c r="B45">
        <v>96</v>
      </c>
      <c r="C45" t="s">
        <v>453</v>
      </c>
      <c r="D45">
        <v>34.918999999999997</v>
      </c>
      <c r="E45">
        <v>9</v>
      </c>
      <c r="F45">
        <v>96</v>
      </c>
      <c r="G45">
        <v>61.081000000000003</v>
      </c>
      <c r="H45" t="b">
        <v>0</v>
      </c>
    </row>
    <row r="46" spans="1:10" x14ac:dyDescent="0.25">
      <c r="A46" t="s">
        <v>165</v>
      </c>
      <c r="B46">
        <v>96</v>
      </c>
      <c r="C46" t="s">
        <v>369</v>
      </c>
      <c r="D46">
        <v>16.222000000000001</v>
      </c>
      <c r="E46">
        <v>9</v>
      </c>
      <c r="F46">
        <v>61.081000000000003</v>
      </c>
      <c r="G46">
        <v>44.859000000000002</v>
      </c>
      <c r="H46" t="b">
        <v>0</v>
      </c>
    </row>
    <row r="47" spans="1:10" x14ac:dyDescent="0.25">
      <c r="A47" t="s">
        <v>165</v>
      </c>
      <c r="B47">
        <v>96</v>
      </c>
      <c r="C47" t="s">
        <v>476</v>
      </c>
      <c r="D47">
        <v>16.222000000000001</v>
      </c>
      <c r="E47">
        <v>9</v>
      </c>
      <c r="F47">
        <v>44.859000000000002</v>
      </c>
      <c r="G47">
        <v>28.637</v>
      </c>
      <c r="H47" t="b">
        <v>0</v>
      </c>
    </row>
    <row r="48" spans="1:10" x14ac:dyDescent="0.25">
      <c r="A48" t="s">
        <v>165</v>
      </c>
      <c r="B48">
        <v>96</v>
      </c>
      <c r="C48" t="s">
        <v>477</v>
      </c>
      <c r="D48">
        <v>16.222000000000001</v>
      </c>
      <c r="E48">
        <v>9</v>
      </c>
      <c r="F48">
        <v>28.637</v>
      </c>
      <c r="G48">
        <v>12.414999999999999</v>
      </c>
      <c r="H48" t="b">
        <v>0</v>
      </c>
    </row>
    <row r="49" spans="1:10" x14ac:dyDescent="0.25">
      <c r="A49" t="s">
        <v>165</v>
      </c>
      <c r="B49">
        <v>96</v>
      </c>
      <c r="C49" t="s">
        <v>216</v>
      </c>
      <c r="D49">
        <v>11.214</v>
      </c>
      <c r="E49">
        <v>9</v>
      </c>
      <c r="F49">
        <v>12.414999999999999</v>
      </c>
      <c r="G49">
        <v>1.2010000000000001</v>
      </c>
      <c r="H49" t="b">
        <v>1</v>
      </c>
      <c r="I49">
        <v>1.2010000000000001</v>
      </c>
      <c r="J49" t="s">
        <v>197</v>
      </c>
    </row>
    <row r="50" spans="1:10" x14ac:dyDescent="0.25">
      <c r="A50" t="s">
        <v>165</v>
      </c>
      <c r="B50">
        <v>96</v>
      </c>
      <c r="C50" t="s">
        <v>217</v>
      </c>
      <c r="D50">
        <v>11.214</v>
      </c>
      <c r="E50">
        <v>10</v>
      </c>
      <c r="F50">
        <v>96</v>
      </c>
      <c r="G50">
        <v>84.786000000000001</v>
      </c>
      <c r="H50" t="b">
        <v>0</v>
      </c>
    </row>
    <row r="51" spans="1:10" x14ac:dyDescent="0.25">
      <c r="A51" t="s">
        <v>165</v>
      </c>
      <c r="B51">
        <v>96</v>
      </c>
      <c r="C51" t="s">
        <v>218</v>
      </c>
      <c r="D51">
        <v>11.214</v>
      </c>
      <c r="E51">
        <v>10</v>
      </c>
      <c r="F51">
        <v>84.786000000000001</v>
      </c>
      <c r="G51">
        <v>73.572000000000003</v>
      </c>
      <c r="H51" t="b">
        <v>0</v>
      </c>
    </row>
    <row r="52" spans="1:10" x14ac:dyDescent="0.25">
      <c r="A52" t="s">
        <v>165</v>
      </c>
      <c r="B52">
        <v>96</v>
      </c>
      <c r="C52" t="s">
        <v>219</v>
      </c>
      <c r="D52">
        <v>11.214</v>
      </c>
      <c r="E52">
        <v>10</v>
      </c>
      <c r="F52">
        <v>73.572000000000003</v>
      </c>
      <c r="G52">
        <v>62.357999999999997</v>
      </c>
      <c r="H52" t="b">
        <v>1</v>
      </c>
      <c r="I52">
        <v>62.357999999999997</v>
      </c>
      <c r="J52" t="s">
        <v>187</v>
      </c>
    </row>
    <row r="53" spans="1:10" x14ac:dyDescent="0.25">
      <c r="A53" t="s">
        <v>166</v>
      </c>
      <c r="B53">
        <v>144</v>
      </c>
      <c r="C53" t="s">
        <v>320</v>
      </c>
      <c r="D53">
        <v>39.258000000000003</v>
      </c>
      <c r="E53">
        <v>1</v>
      </c>
      <c r="F53">
        <v>144</v>
      </c>
      <c r="G53">
        <v>104.742</v>
      </c>
      <c r="H53" t="b">
        <v>0</v>
      </c>
    </row>
    <row r="54" spans="1:10" x14ac:dyDescent="0.25">
      <c r="A54" t="s">
        <v>166</v>
      </c>
      <c r="B54">
        <v>144</v>
      </c>
      <c r="C54" t="s">
        <v>321</v>
      </c>
      <c r="D54">
        <v>39.258000000000003</v>
      </c>
      <c r="E54">
        <v>1</v>
      </c>
      <c r="F54">
        <v>104.742</v>
      </c>
      <c r="G54">
        <v>65.483999999999995</v>
      </c>
      <c r="H54" t="b">
        <v>0</v>
      </c>
    </row>
    <row r="55" spans="1:10" x14ac:dyDescent="0.25">
      <c r="A55" t="s">
        <v>166</v>
      </c>
      <c r="B55">
        <v>144</v>
      </c>
      <c r="C55" t="s">
        <v>322</v>
      </c>
      <c r="D55">
        <v>39.258000000000003</v>
      </c>
      <c r="E55">
        <v>1</v>
      </c>
      <c r="F55">
        <v>65.483999999999995</v>
      </c>
      <c r="G55">
        <v>26.225999999999999</v>
      </c>
      <c r="H55" t="b">
        <v>1</v>
      </c>
      <c r="I55">
        <v>26.225999999999999</v>
      </c>
      <c r="J55" t="s">
        <v>187</v>
      </c>
    </row>
    <row r="56" spans="1:10" x14ac:dyDescent="0.25">
      <c r="A56" t="s">
        <v>166</v>
      </c>
      <c r="B56">
        <v>144</v>
      </c>
      <c r="C56" t="s">
        <v>323</v>
      </c>
      <c r="D56">
        <v>39.258000000000003</v>
      </c>
      <c r="E56">
        <v>2</v>
      </c>
      <c r="F56">
        <v>144</v>
      </c>
      <c r="G56">
        <v>104.742</v>
      </c>
      <c r="H56" t="b">
        <v>0</v>
      </c>
    </row>
    <row r="57" spans="1:10" x14ac:dyDescent="0.25">
      <c r="A57" t="s">
        <v>166</v>
      </c>
      <c r="B57">
        <v>144</v>
      </c>
      <c r="C57" t="s">
        <v>522</v>
      </c>
      <c r="D57">
        <v>39.258000000000003</v>
      </c>
      <c r="E57">
        <v>2</v>
      </c>
      <c r="F57">
        <v>104.742</v>
      </c>
      <c r="G57">
        <v>65.483999999999995</v>
      </c>
      <c r="H57" t="b">
        <v>0</v>
      </c>
    </row>
    <row r="58" spans="1:10" x14ac:dyDescent="0.25">
      <c r="A58" t="s">
        <v>166</v>
      </c>
      <c r="B58">
        <v>144</v>
      </c>
      <c r="C58" t="s">
        <v>417</v>
      </c>
      <c r="D58">
        <v>37.564999999999998</v>
      </c>
      <c r="E58">
        <v>2</v>
      </c>
      <c r="F58">
        <v>65.483999999999995</v>
      </c>
      <c r="G58">
        <v>27.919</v>
      </c>
      <c r="H58" t="b">
        <v>1</v>
      </c>
      <c r="I58">
        <v>27.919</v>
      </c>
      <c r="J58" t="s">
        <v>187</v>
      </c>
    </row>
    <row r="59" spans="1:10" x14ac:dyDescent="0.25">
      <c r="A59" t="s">
        <v>166</v>
      </c>
      <c r="B59">
        <v>144</v>
      </c>
      <c r="C59" t="s">
        <v>418</v>
      </c>
      <c r="D59">
        <v>37.564999999999998</v>
      </c>
      <c r="E59">
        <v>3</v>
      </c>
      <c r="F59">
        <v>144</v>
      </c>
      <c r="G59">
        <v>106.435</v>
      </c>
      <c r="H59" t="b">
        <v>0</v>
      </c>
    </row>
    <row r="60" spans="1:10" x14ac:dyDescent="0.25">
      <c r="A60" t="s">
        <v>166</v>
      </c>
      <c r="B60">
        <v>144</v>
      </c>
      <c r="C60" t="s">
        <v>419</v>
      </c>
      <c r="D60">
        <v>37.564999999999998</v>
      </c>
      <c r="E60">
        <v>3</v>
      </c>
      <c r="F60">
        <v>106.435</v>
      </c>
      <c r="G60">
        <v>68.87</v>
      </c>
      <c r="H60" t="b">
        <v>0</v>
      </c>
    </row>
    <row r="61" spans="1:10" x14ac:dyDescent="0.25">
      <c r="A61" t="s">
        <v>166</v>
      </c>
      <c r="B61">
        <v>144</v>
      </c>
      <c r="C61" t="s">
        <v>420</v>
      </c>
      <c r="D61">
        <v>37.564999999999998</v>
      </c>
      <c r="E61">
        <v>3</v>
      </c>
      <c r="F61">
        <v>68.87</v>
      </c>
      <c r="G61">
        <v>31.305</v>
      </c>
      <c r="H61" t="b">
        <v>0</v>
      </c>
    </row>
    <row r="62" spans="1:10" x14ac:dyDescent="0.25">
      <c r="A62" t="s">
        <v>166</v>
      </c>
      <c r="B62">
        <v>144</v>
      </c>
      <c r="C62" t="s">
        <v>372</v>
      </c>
      <c r="D62">
        <v>6.7939999999999996</v>
      </c>
      <c r="E62">
        <v>3</v>
      </c>
      <c r="F62">
        <v>31.305</v>
      </c>
      <c r="G62">
        <v>24.510999999999999</v>
      </c>
      <c r="H62" t="b">
        <v>0</v>
      </c>
    </row>
    <row r="63" spans="1:10" x14ac:dyDescent="0.25">
      <c r="A63" t="s">
        <v>166</v>
      </c>
      <c r="B63">
        <v>144</v>
      </c>
      <c r="C63" t="s">
        <v>373</v>
      </c>
      <c r="D63">
        <v>6.7939999999999996</v>
      </c>
      <c r="E63">
        <v>3</v>
      </c>
      <c r="F63">
        <v>24.510999999999999</v>
      </c>
      <c r="G63">
        <v>17.716999999999999</v>
      </c>
      <c r="H63" t="b">
        <v>0</v>
      </c>
    </row>
    <row r="64" spans="1:10" x14ac:dyDescent="0.25">
      <c r="A64" t="s">
        <v>166</v>
      </c>
      <c r="B64">
        <v>144</v>
      </c>
      <c r="C64" t="s">
        <v>374</v>
      </c>
      <c r="D64">
        <v>6.7939999999999996</v>
      </c>
      <c r="E64">
        <v>3</v>
      </c>
      <c r="F64">
        <v>17.716999999999999</v>
      </c>
      <c r="G64">
        <v>10.923</v>
      </c>
      <c r="H64" t="b">
        <v>1</v>
      </c>
      <c r="I64">
        <v>10.923</v>
      </c>
      <c r="J64" t="s">
        <v>197</v>
      </c>
    </row>
    <row r="65" spans="1:10" x14ac:dyDescent="0.25">
      <c r="A65" t="s">
        <v>167</v>
      </c>
      <c r="B65">
        <v>96</v>
      </c>
      <c r="C65" t="s">
        <v>370</v>
      </c>
      <c r="D65">
        <v>34.868000000000002</v>
      </c>
      <c r="E65">
        <v>1</v>
      </c>
      <c r="F65">
        <v>96</v>
      </c>
      <c r="G65">
        <v>61.131999999999998</v>
      </c>
      <c r="H65" t="b">
        <v>0</v>
      </c>
    </row>
    <row r="66" spans="1:10" x14ac:dyDescent="0.25">
      <c r="A66" t="s">
        <v>167</v>
      </c>
      <c r="B66">
        <v>96</v>
      </c>
      <c r="C66" t="s">
        <v>371</v>
      </c>
      <c r="D66">
        <v>34.868000000000002</v>
      </c>
      <c r="E66">
        <v>1</v>
      </c>
      <c r="F66">
        <v>61.131999999999998</v>
      </c>
      <c r="G66">
        <v>26.263999999999999</v>
      </c>
      <c r="H66" t="b">
        <v>1</v>
      </c>
      <c r="I66">
        <v>26.263999999999999</v>
      </c>
      <c r="J66" t="s">
        <v>187</v>
      </c>
    </row>
    <row r="67" spans="1:10" x14ac:dyDescent="0.25">
      <c r="A67" t="s">
        <v>167</v>
      </c>
      <c r="B67">
        <v>96</v>
      </c>
      <c r="C67" t="s">
        <v>500</v>
      </c>
      <c r="D67">
        <v>34.868000000000002</v>
      </c>
      <c r="E67">
        <v>2</v>
      </c>
      <c r="F67">
        <v>96</v>
      </c>
      <c r="G67">
        <v>61.131999999999998</v>
      </c>
      <c r="H67" t="b">
        <v>0</v>
      </c>
    </row>
    <row r="68" spans="1:10" x14ac:dyDescent="0.25">
      <c r="A68" t="s">
        <v>167</v>
      </c>
      <c r="B68">
        <v>96</v>
      </c>
      <c r="C68" t="s">
        <v>231</v>
      </c>
      <c r="D68">
        <v>8.3170000000000002</v>
      </c>
      <c r="E68">
        <v>2</v>
      </c>
      <c r="F68">
        <v>61.131999999999998</v>
      </c>
      <c r="G68">
        <v>52.814999999999998</v>
      </c>
      <c r="H68" t="b">
        <v>0</v>
      </c>
    </row>
    <row r="69" spans="1:10" x14ac:dyDescent="0.25">
      <c r="A69" t="s">
        <v>167</v>
      </c>
      <c r="B69">
        <v>96</v>
      </c>
      <c r="C69" t="s">
        <v>232</v>
      </c>
      <c r="D69">
        <v>8.3170000000000002</v>
      </c>
      <c r="E69">
        <v>2</v>
      </c>
      <c r="F69">
        <v>52.814999999999998</v>
      </c>
      <c r="G69">
        <v>44.497999999999998</v>
      </c>
      <c r="H69" t="b">
        <v>0</v>
      </c>
    </row>
    <row r="70" spans="1:10" x14ac:dyDescent="0.25">
      <c r="A70" t="s">
        <v>167</v>
      </c>
      <c r="B70">
        <v>96</v>
      </c>
      <c r="C70" t="s">
        <v>233</v>
      </c>
      <c r="D70">
        <v>8.3170000000000002</v>
      </c>
      <c r="E70">
        <v>2</v>
      </c>
      <c r="F70">
        <v>44.497999999999998</v>
      </c>
      <c r="G70">
        <v>36.180999999999997</v>
      </c>
      <c r="H70" t="b">
        <v>0</v>
      </c>
    </row>
    <row r="71" spans="1:10" x14ac:dyDescent="0.25">
      <c r="A71" t="s">
        <v>167</v>
      </c>
      <c r="B71">
        <v>96</v>
      </c>
      <c r="C71" t="s">
        <v>246</v>
      </c>
      <c r="D71">
        <v>7.4020000000000001</v>
      </c>
      <c r="E71">
        <v>2</v>
      </c>
      <c r="F71">
        <v>36.180999999999997</v>
      </c>
      <c r="G71">
        <v>28.779</v>
      </c>
      <c r="H71" t="b">
        <v>0</v>
      </c>
    </row>
    <row r="72" spans="1:10" x14ac:dyDescent="0.25">
      <c r="A72" t="s">
        <v>167</v>
      </c>
      <c r="B72">
        <v>96</v>
      </c>
      <c r="C72" t="s">
        <v>247</v>
      </c>
      <c r="D72">
        <v>7.4020000000000001</v>
      </c>
      <c r="E72">
        <v>2</v>
      </c>
      <c r="F72">
        <v>28.779</v>
      </c>
      <c r="G72">
        <v>21.376999999999999</v>
      </c>
      <c r="H72" t="b">
        <v>0</v>
      </c>
    </row>
    <row r="73" spans="1:10" x14ac:dyDescent="0.25">
      <c r="A73" t="s">
        <v>167</v>
      </c>
      <c r="B73">
        <v>96</v>
      </c>
      <c r="C73" t="s">
        <v>248</v>
      </c>
      <c r="D73">
        <v>7.4020000000000001</v>
      </c>
      <c r="E73">
        <v>2</v>
      </c>
      <c r="F73">
        <v>21.376999999999999</v>
      </c>
      <c r="G73">
        <v>13.975</v>
      </c>
      <c r="H73" t="b">
        <v>0</v>
      </c>
    </row>
    <row r="74" spans="1:10" x14ac:dyDescent="0.25">
      <c r="A74" t="s">
        <v>167</v>
      </c>
      <c r="B74">
        <v>96</v>
      </c>
      <c r="C74" t="s">
        <v>249</v>
      </c>
      <c r="D74">
        <v>7.4020000000000001</v>
      </c>
      <c r="E74">
        <v>2</v>
      </c>
      <c r="F74">
        <v>13.975</v>
      </c>
      <c r="G74">
        <v>6.5730000000000004</v>
      </c>
      <c r="H74" t="b">
        <v>1</v>
      </c>
      <c r="I74">
        <v>6.5730000000000004</v>
      </c>
      <c r="J74" t="s">
        <v>197</v>
      </c>
    </row>
    <row r="75" spans="1:10" x14ac:dyDescent="0.25">
      <c r="A75" t="s">
        <v>168</v>
      </c>
      <c r="B75">
        <v>144</v>
      </c>
      <c r="C75" t="s">
        <v>435</v>
      </c>
      <c r="D75">
        <v>46.131999999999998</v>
      </c>
      <c r="E75">
        <v>1</v>
      </c>
      <c r="F75">
        <v>144</v>
      </c>
      <c r="G75">
        <v>97.867999999999995</v>
      </c>
      <c r="H75" t="b">
        <v>0</v>
      </c>
    </row>
    <row r="76" spans="1:10" x14ac:dyDescent="0.25">
      <c r="A76" t="s">
        <v>168</v>
      </c>
      <c r="B76">
        <v>144</v>
      </c>
      <c r="C76" t="s">
        <v>436</v>
      </c>
      <c r="D76">
        <v>46.131999999999998</v>
      </c>
      <c r="E76">
        <v>1</v>
      </c>
      <c r="F76">
        <v>97.867999999999995</v>
      </c>
      <c r="G76">
        <v>51.735999999999997</v>
      </c>
      <c r="H76" t="b">
        <v>0</v>
      </c>
    </row>
    <row r="77" spans="1:10" x14ac:dyDescent="0.25">
      <c r="A77" t="s">
        <v>168</v>
      </c>
      <c r="B77">
        <v>144</v>
      </c>
      <c r="C77" t="s">
        <v>337</v>
      </c>
      <c r="D77">
        <v>45.51</v>
      </c>
      <c r="E77">
        <v>1</v>
      </c>
      <c r="F77">
        <v>51.735999999999997</v>
      </c>
      <c r="G77">
        <v>6.226</v>
      </c>
      <c r="H77" t="b">
        <v>1</v>
      </c>
      <c r="I77">
        <v>6.226</v>
      </c>
      <c r="J77" t="s">
        <v>197</v>
      </c>
    </row>
    <row r="78" spans="1:10" x14ac:dyDescent="0.25">
      <c r="A78" t="s">
        <v>168</v>
      </c>
      <c r="B78">
        <v>144</v>
      </c>
      <c r="C78" t="s">
        <v>338</v>
      </c>
      <c r="D78">
        <v>45.51</v>
      </c>
      <c r="E78">
        <v>2</v>
      </c>
      <c r="F78">
        <v>144</v>
      </c>
      <c r="G78">
        <v>98.49</v>
      </c>
      <c r="H78" t="b">
        <v>0</v>
      </c>
    </row>
    <row r="79" spans="1:10" x14ac:dyDescent="0.25">
      <c r="A79" t="s">
        <v>168</v>
      </c>
      <c r="B79">
        <v>144</v>
      </c>
      <c r="C79" t="s">
        <v>339</v>
      </c>
      <c r="D79">
        <v>45.51</v>
      </c>
      <c r="E79">
        <v>2</v>
      </c>
      <c r="F79">
        <v>98.49</v>
      </c>
      <c r="G79">
        <v>52.98</v>
      </c>
      <c r="H79" t="b">
        <v>0</v>
      </c>
    </row>
    <row r="80" spans="1:10" x14ac:dyDescent="0.25">
      <c r="A80" t="s">
        <v>168</v>
      </c>
      <c r="B80">
        <v>144</v>
      </c>
      <c r="C80" t="s">
        <v>299</v>
      </c>
      <c r="D80">
        <v>41.262999999999998</v>
      </c>
      <c r="E80">
        <v>2</v>
      </c>
      <c r="F80">
        <v>52.98</v>
      </c>
      <c r="G80">
        <v>11.717000000000001</v>
      </c>
      <c r="H80" t="b">
        <v>1</v>
      </c>
      <c r="I80">
        <v>11.717000000000001</v>
      </c>
      <c r="J80" t="s">
        <v>197</v>
      </c>
    </row>
    <row r="81" spans="1:10" x14ac:dyDescent="0.25">
      <c r="A81" t="s">
        <v>168</v>
      </c>
      <c r="B81">
        <v>144</v>
      </c>
      <c r="C81" t="s">
        <v>300</v>
      </c>
      <c r="D81">
        <v>41.262999999999998</v>
      </c>
      <c r="E81">
        <v>3</v>
      </c>
      <c r="F81">
        <v>144</v>
      </c>
      <c r="G81">
        <v>102.73699999999999</v>
      </c>
      <c r="H81" t="b">
        <v>0</v>
      </c>
    </row>
    <row r="82" spans="1:10" x14ac:dyDescent="0.25">
      <c r="A82" t="s">
        <v>168</v>
      </c>
      <c r="B82">
        <v>144</v>
      </c>
      <c r="C82" t="s">
        <v>301</v>
      </c>
      <c r="D82">
        <v>41.262999999999998</v>
      </c>
      <c r="E82">
        <v>3</v>
      </c>
      <c r="F82">
        <v>102.73699999999999</v>
      </c>
      <c r="G82">
        <v>61.473999999999997</v>
      </c>
      <c r="H82" t="b">
        <v>0</v>
      </c>
    </row>
    <row r="83" spans="1:10" x14ac:dyDescent="0.25">
      <c r="A83" t="s">
        <v>168</v>
      </c>
      <c r="B83">
        <v>144</v>
      </c>
      <c r="C83" t="s">
        <v>302</v>
      </c>
      <c r="D83">
        <v>41.262999999999998</v>
      </c>
      <c r="E83">
        <v>3</v>
      </c>
      <c r="F83">
        <v>61.473999999999997</v>
      </c>
      <c r="G83">
        <v>20.210999999999999</v>
      </c>
      <c r="H83" t="b">
        <v>1</v>
      </c>
      <c r="I83">
        <v>20.210999999999999</v>
      </c>
      <c r="J83" t="s">
        <v>187</v>
      </c>
    </row>
    <row r="84" spans="1:10" x14ac:dyDescent="0.25">
      <c r="A84" t="s">
        <v>168</v>
      </c>
      <c r="B84">
        <v>144</v>
      </c>
      <c r="C84" t="s">
        <v>303</v>
      </c>
      <c r="D84">
        <v>41.262999999999998</v>
      </c>
      <c r="E84">
        <v>4</v>
      </c>
      <c r="F84">
        <v>144</v>
      </c>
      <c r="G84">
        <v>102.73699999999999</v>
      </c>
      <c r="H84" t="b">
        <v>0</v>
      </c>
    </row>
    <row r="85" spans="1:10" x14ac:dyDescent="0.25">
      <c r="A85" t="s">
        <v>168</v>
      </c>
      <c r="B85">
        <v>144</v>
      </c>
      <c r="C85" t="s">
        <v>454</v>
      </c>
      <c r="D85">
        <v>41.262999999999998</v>
      </c>
      <c r="E85">
        <v>4</v>
      </c>
      <c r="F85">
        <v>102.73699999999999</v>
      </c>
      <c r="G85">
        <v>61.473999999999997</v>
      </c>
      <c r="H85" t="b">
        <v>0</v>
      </c>
    </row>
    <row r="86" spans="1:10" x14ac:dyDescent="0.25">
      <c r="A86" t="s">
        <v>168</v>
      </c>
      <c r="B86">
        <v>144</v>
      </c>
      <c r="C86" t="s">
        <v>406</v>
      </c>
      <c r="D86">
        <v>19.803999999999998</v>
      </c>
      <c r="E86">
        <v>4</v>
      </c>
      <c r="F86">
        <v>61.473999999999997</v>
      </c>
      <c r="G86">
        <v>41.67</v>
      </c>
      <c r="H86" t="b">
        <v>0</v>
      </c>
    </row>
    <row r="87" spans="1:10" x14ac:dyDescent="0.25">
      <c r="A87" t="s">
        <v>168</v>
      </c>
      <c r="B87">
        <v>144</v>
      </c>
      <c r="C87" t="s">
        <v>407</v>
      </c>
      <c r="D87">
        <v>19.803999999999998</v>
      </c>
      <c r="E87">
        <v>4</v>
      </c>
      <c r="F87">
        <v>41.67</v>
      </c>
      <c r="G87">
        <v>21.866</v>
      </c>
      <c r="H87" t="b">
        <v>0</v>
      </c>
    </row>
    <row r="88" spans="1:10" x14ac:dyDescent="0.25">
      <c r="A88" t="s">
        <v>168</v>
      </c>
      <c r="B88">
        <v>144</v>
      </c>
      <c r="C88" t="s">
        <v>514</v>
      </c>
      <c r="D88">
        <v>19.803999999999998</v>
      </c>
      <c r="E88">
        <v>4</v>
      </c>
      <c r="F88">
        <v>21.866</v>
      </c>
      <c r="G88">
        <v>2.0619999999999998</v>
      </c>
      <c r="H88" t="b">
        <v>1</v>
      </c>
      <c r="I88">
        <v>2.0619999999999998</v>
      </c>
      <c r="J88" t="s">
        <v>197</v>
      </c>
    </row>
    <row r="89" spans="1:10" x14ac:dyDescent="0.25">
      <c r="A89" t="s">
        <v>168</v>
      </c>
      <c r="B89">
        <v>144</v>
      </c>
      <c r="C89" t="s">
        <v>515</v>
      </c>
      <c r="D89">
        <v>19.803999999999998</v>
      </c>
      <c r="E89">
        <v>5</v>
      </c>
      <c r="F89">
        <v>144</v>
      </c>
      <c r="G89">
        <v>124.196</v>
      </c>
      <c r="H89" t="b">
        <v>0</v>
      </c>
    </row>
    <row r="90" spans="1:10" x14ac:dyDescent="0.25">
      <c r="A90" t="s">
        <v>168</v>
      </c>
      <c r="B90">
        <v>144</v>
      </c>
      <c r="C90" t="s">
        <v>516</v>
      </c>
      <c r="D90">
        <v>19.803999999999998</v>
      </c>
      <c r="E90">
        <v>5</v>
      </c>
      <c r="F90">
        <v>124.196</v>
      </c>
      <c r="G90">
        <v>104.392</v>
      </c>
      <c r="H90" t="b">
        <v>0</v>
      </c>
    </row>
    <row r="91" spans="1:10" x14ac:dyDescent="0.25">
      <c r="A91" t="s">
        <v>168</v>
      </c>
      <c r="B91">
        <v>144</v>
      </c>
      <c r="C91" t="s">
        <v>279</v>
      </c>
      <c r="D91">
        <v>11.132</v>
      </c>
      <c r="E91">
        <v>5</v>
      </c>
      <c r="F91">
        <v>104.392</v>
      </c>
      <c r="G91">
        <v>93.26</v>
      </c>
      <c r="H91" t="b">
        <v>0</v>
      </c>
    </row>
    <row r="92" spans="1:10" x14ac:dyDescent="0.25">
      <c r="A92" t="s">
        <v>168</v>
      </c>
      <c r="B92">
        <v>144</v>
      </c>
      <c r="C92" t="s">
        <v>467</v>
      </c>
      <c r="D92">
        <v>11.132</v>
      </c>
      <c r="E92">
        <v>5</v>
      </c>
      <c r="F92">
        <v>93.26</v>
      </c>
      <c r="G92">
        <v>82.128</v>
      </c>
      <c r="H92" t="b">
        <v>0</v>
      </c>
    </row>
    <row r="93" spans="1:10" x14ac:dyDescent="0.25">
      <c r="A93" t="s">
        <v>168</v>
      </c>
      <c r="B93">
        <v>144</v>
      </c>
      <c r="C93" t="s">
        <v>468</v>
      </c>
      <c r="D93">
        <v>11.132</v>
      </c>
      <c r="E93">
        <v>5</v>
      </c>
      <c r="F93">
        <v>82.128</v>
      </c>
      <c r="G93">
        <v>70.995999999999995</v>
      </c>
      <c r="H93" t="b">
        <v>0</v>
      </c>
    </row>
    <row r="94" spans="1:10" x14ac:dyDescent="0.25">
      <c r="A94" t="s">
        <v>168</v>
      </c>
      <c r="B94">
        <v>144</v>
      </c>
      <c r="C94" t="s">
        <v>469</v>
      </c>
      <c r="D94">
        <v>11.132</v>
      </c>
      <c r="E94">
        <v>5</v>
      </c>
      <c r="F94">
        <v>70.995999999999995</v>
      </c>
      <c r="G94">
        <v>59.863999999999997</v>
      </c>
      <c r="H94" t="b">
        <v>0</v>
      </c>
    </row>
    <row r="95" spans="1:10" x14ac:dyDescent="0.25">
      <c r="A95" t="s">
        <v>168</v>
      </c>
      <c r="B95">
        <v>144</v>
      </c>
      <c r="C95" t="s">
        <v>470</v>
      </c>
      <c r="D95">
        <v>11.132</v>
      </c>
      <c r="E95">
        <v>5</v>
      </c>
      <c r="F95">
        <v>59.863999999999997</v>
      </c>
      <c r="G95">
        <v>48.731999999999999</v>
      </c>
      <c r="H95" t="b">
        <v>0</v>
      </c>
    </row>
    <row r="96" spans="1:10" x14ac:dyDescent="0.25">
      <c r="A96" t="s">
        <v>168</v>
      </c>
      <c r="B96">
        <v>144</v>
      </c>
      <c r="C96" t="s">
        <v>538</v>
      </c>
      <c r="D96">
        <v>11.132</v>
      </c>
      <c r="E96">
        <v>5</v>
      </c>
      <c r="F96">
        <v>48.731999999999999</v>
      </c>
      <c r="G96">
        <v>37.6</v>
      </c>
      <c r="H96" t="b">
        <v>1</v>
      </c>
      <c r="I96">
        <v>37.6</v>
      </c>
      <c r="J96" t="s">
        <v>187</v>
      </c>
    </row>
    <row r="97" spans="1:10" x14ac:dyDescent="0.25">
      <c r="A97" t="s">
        <v>169</v>
      </c>
      <c r="B97">
        <v>96</v>
      </c>
      <c r="C97" t="s">
        <v>295</v>
      </c>
      <c r="D97">
        <v>24.472999999999999</v>
      </c>
      <c r="E97">
        <v>1</v>
      </c>
      <c r="F97">
        <v>96</v>
      </c>
      <c r="G97">
        <v>71.527000000000001</v>
      </c>
      <c r="H97" t="b">
        <v>0</v>
      </c>
    </row>
    <row r="98" spans="1:10" x14ac:dyDescent="0.25">
      <c r="A98" t="s">
        <v>169</v>
      </c>
      <c r="B98">
        <v>96</v>
      </c>
      <c r="C98" t="s">
        <v>296</v>
      </c>
      <c r="D98">
        <v>24.472999999999999</v>
      </c>
      <c r="E98">
        <v>1</v>
      </c>
      <c r="F98">
        <v>71.527000000000001</v>
      </c>
      <c r="G98">
        <v>47.054000000000002</v>
      </c>
      <c r="H98" t="b">
        <v>0</v>
      </c>
    </row>
    <row r="99" spans="1:10" x14ac:dyDescent="0.25">
      <c r="A99" t="s">
        <v>169</v>
      </c>
      <c r="B99">
        <v>96</v>
      </c>
      <c r="C99" t="s">
        <v>297</v>
      </c>
      <c r="D99">
        <v>24.472999999999999</v>
      </c>
      <c r="E99">
        <v>1</v>
      </c>
      <c r="F99">
        <v>47.054000000000002</v>
      </c>
      <c r="G99">
        <v>22.581</v>
      </c>
      <c r="H99" t="b">
        <v>1</v>
      </c>
      <c r="I99">
        <v>22.581</v>
      </c>
      <c r="J99" t="s">
        <v>187</v>
      </c>
    </row>
    <row r="100" spans="1:10" x14ac:dyDescent="0.25">
      <c r="A100" t="s">
        <v>169</v>
      </c>
      <c r="B100">
        <v>96</v>
      </c>
      <c r="C100" t="s">
        <v>490</v>
      </c>
      <c r="D100">
        <v>24.472999999999999</v>
      </c>
      <c r="E100">
        <v>2</v>
      </c>
      <c r="F100">
        <v>96</v>
      </c>
      <c r="G100">
        <v>71.527000000000001</v>
      </c>
      <c r="H100" t="b">
        <v>0</v>
      </c>
    </row>
    <row r="101" spans="1:10" x14ac:dyDescent="0.25">
      <c r="A101" t="s">
        <v>169</v>
      </c>
      <c r="B101">
        <v>96</v>
      </c>
      <c r="C101" t="s">
        <v>491</v>
      </c>
      <c r="D101">
        <v>24.472999999999999</v>
      </c>
      <c r="E101">
        <v>2</v>
      </c>
      <c r="F101">
        <v>71.527000000000001</v>
      </c>
      <c r="G101">
        <v>47.054000000000002</v>
      </c>
      <c r="H101" t="b">
        <v>1</v>
      </c>
      <c r="I101">
        <v>47.054000000000002</v>
      </c>
      <c r="J101" t="s">
        <v>187</v>
      </c>
    </row>
    <row r="102" spans="1:10" x14ac:dyDescent="0.25">
      <c r="A102" t="s">
        <v>170</v>
      </c>
      <c r="B102">
        <v>144</v>
      </c>
      <c r="C102" t="s">
        <v>401</v>
      </c>
      <c r="D102">
        <v>47.201999999999998</v>
      </c>
      <c r="E102">
        <v>1</v>
      </c>
      <c r="F102">
        <v>144</v>
      </c>
      <c r="G102">
        <v>96.798000000000002</v>
      </c>
      <c r="H102" t="b">
        <v>0</v>
      </c>
    </row>
    <row r="103" spans="1:10" x14ac:dyDescent="0.25">
      <c r="A103" t="s">
        <v>170</v>
      </c>
      <c r="B103">
        <v>144</v>
      </c>
      <c r="C103" t="s">
        <v>402</v>
      </c>
      <c r="D103">
        <v>47.201999999999998</v>
      </c>
      <c r="E103">
        <v>1</v>
      </c>
      <c r="F103">
        <v>96.798000000000002</v>
      </c>
      <c r="G103">
        <v>49.595999999999997</v>
      </c>
      <c r="H103" t="b">
        <v>0</v>
      </c>
    </row>
    <row r="104" spans="1:10" x14ac:dyDescent="0.25">
      <c r="A104" t="s">
        <v>170</v>
      </c>
      <c r="B104">
        <v>144</v>
      </c>
      <c r="C104" t="s">
        <v>403</v>
      </c>
      <c r="D104">
        <v>47.201999999999998</v>
      </c>
      <c r="E104">
        <v>1</v>
      </c>
      <c r="F104">
        <v>49.595999999999997</v>
      </c>
      <c r="G104">
        <v>2.3940000000000001</v>
      </c>
      <c r="H104" t="b">
        <v>1</v>
      </c>
      <c r="I104">
        <v>2.3940000000000001</v>
      </c>
      <c r="J104" t="s">
        <v>197</v>
      </c>
    </row>
    <row r="105" spans="1:10" x14ac:dyDescent="0.25">
      <c r="A105" t="s">
        <v>170</v>
      </c>
      <c r="B105">
        <v>144</v>
      </c>
      <c r="C105" t="s">
        <v>404</v>
      </c>
      <c r="D105">
        <v>47.201999999999998</v>
      </c>
      <c r="E105">
        <v>2</v>
      </c>
      <c r="F105">
        <v>144</v>
      </c>
      <c r="G105">
        <v>96.798000000000002</v>
      </c>
      <c r="H105" t="b">
        <v>0</v>
      </c>
    </row>
    <row r="106" spans="1:10" x14ac:dyDescent="0.25">
      <c r="A106" t="s">
        <v>170</v>
      </c>
      <c r="B106">
        <v>144</v>
      </c>
      <c r="C106" t="s">
        <v>366</v>
      </c>
      <c r="D106">
        <v>37.68</v>
      </c>
      <c r="E106">
        <v>2</v>
      </c>
      <c r="F106">
        <v>96.798000000000002</v>
      </c>
      <c r="G106">
        <v>59.118000000000002</v>
      </c>
      <c r="H106" t="b">
        <v>0</v>
      </c>
    </row>
    <row r="107" spans="1:10" x14ac:dyDescent="0.25">
      <c r="A107" t="s">
        <v>170</v>
      </c>
      <c r="B107">
        <v>144</v>
      </c>
      <c r="C107" t="s">
        <v>367</v>
      </c>
      <c r="D107">
        <v>37.68</v>
      </c>
      <c r="E107">
        <v>2</v>
      </c>
      <c r="F107">
        <v>59.118000000000002</v>
      </c>
      <c r="G107">
        <v>21.437999999999999</v>
      </c>
      <c r="H107" t="b">
        <v>1</v>
      </c>
      <c r="I107">
        <v>21.437999999999999</v>
      </c>
      <c r="J107" t="s">
        <v>187</v>
      </c>
    </row>
    <row r="108" spans="1:10" x14ac:dyDescent="0.25">
      <c r="A108" t="s">
        <v>170</v>
      </c>
      <c r="B108">
        <v>144</v>
      </c>
      <c r="C108" t="s">
        <v>368</v>
      </c>
      <c r="D108">
        <v>37.68</v>
      </c>
      <c r="E108">
        <v>3</v>
      </c>
      <c r="F108">
        <v>144</v>
      </c>
      <c r="G108">
        <v>106.32</v>
      </c>
      <c r="H108" t="b">
        <v>0</v>
      </c>
    </row>
    <row r="109" spans="1:10" x14ac:dyDescent="0.25">
      <c r="A109" t="s">
        <v>170</v>
      </c>
      <c r="B109">
        <v>144</v>
      </c>
      <c r="C109" t="s">
        <v>450</v>
      </c>
      <c r="D109">
        <v>37.68</v>
      </c>
      <c r="E109">
        <v>3</v>
      </c>
      <c r="F109">
        <v>106.32</v>
      </c>
      <c r="G109">
        <v>68.64</v>
      </c>
      <c r="H109" t="b">
        <v>0</v>
      </c>
    </row>
    <row r="110" spans="1:10" x14ac:dyDescent="0.25">
      <c r="A110" t="s">
        <v>170</v>
      </c>
      <c r="B110">
        <v>144</v>
      </c>
      <c r="C110" t="s">
        <v>451</v>
      </c>
      <c r="D110">
        <v>37.68</v>
      </c>
      <c r="E110">
        <v>3</v>
      </c>
      <c r="F110">
        <v>68.64</v>
      </c>
      <c r="G110">
        <v>30.96</v>
      </c>
      <c r="H110" t="b">
        <v>0</v>
      </c>
    </row>
    <row r="111" spans="1:10" x14ac:dyDescent="0.25">
      <c r="A111" t="s">
        <v>170</v>
      </c>
      <c r="B111">
        <v>144</v>
      </c>
      <c r="C111" t="s">
        <v>283</v>
      </c>
      <c r="D111">
        <v>28.353000000000002</v>
      </c>
      <c r="E111">
        <v>3</v>
      </c>
      <c r="F111">
        <v>30.96</v>
      </c>
      <c r="G111">
        <v>2.6070000000000002</v>
      </c>
      <c r="H111" t="b">
        <v>1</v>
      </c>
      <c r="I111">
        <v>2.6070000000000002</v>
      </c>
      <c r="J111" t="s">
        <v>197</v>
      </c>
    </row>
    <row r="112" spans="1:10" x14ac:dyDescent="0.25">
      <c r="A112" t="s">
        <v>170</v>
      </c>
      <c r="B112">
        <v>144</v>
      </c>
      <c r="C112" t="s">
        <v>414</v>
      </c>
      <c r="D112">
        <v>25.372</v>
      </c>
      <c r="E112">
        <v>4</v>
      </c>
      <c r="F112">
        <v>144</v>
      </c>
      <c r="G112">
        <v>118.628</v>
      </c>
      <c r="H112" t="b">
        <v>0</v>
      </c>
    </row>
    <row r="113" spans="1:10" x14ac:dyDescent="0.25">
      <c r="A113" t="s">
        <v>170</v>
      </c>
      <c r="B113">
        <v>144</v>
      </c>
      <c r="C113" t="s">
        <v>415</v>
      </c>
      <c r="D113">
        <v>25.372</v>
      </c>
      <c r="E113">
        <v>4</v>
      </c>
      <c r="F113">
        <v>118.628</v>
      </c>
      <c r="G113">
        <v>93.256</v>
      </c>
      <c r="H113" t="b">
        <v>0</v>
      </c>
    </row>
    <row r="114" spans="1:10" x14ac:dyDescent="0.25">
      <c r="A114" t="s">
        <v>170</v>
      </c>
      <c r="B114">
        <v>144</v>
      </c>
      <c r="C114" t="s">
        <v>198</v>
      </c>
      <c r="D114">
        <v>2.923</v>
      </c>
      <c r="E114">
        <v>4</v>
      </c>
      <c r="F114">
        <v>93.256</v>
      </c>
      <c r="G114">
        <v>90.332999999999998</v>
      </c>
      <c r="H114" t="b">
        <v>0</v>
      </c>
    </row>
    <row r="115" spans="1:10" x14ac:dyDescent="0.25">
      <c r="A115" t="s">
        <v>170</v>
      </c>
      <c r="B115">
        <v>144</v>
      </c>
      <c r="C115" t="s">
        <v>199</v>
      </c>
      <c r="D115">
        <v>2.923</v>
      </c>
      <c r="E115">
        <v>4</v>
      </c>
      <c r="F115">
        <v>90.332999999999998</v>
      </c>
      <c r="G115">
        <v>87.41</v>
      </c>
      <c r="H115" t="b">
        <v>0</v>
      </c>
    </row>
    <row r="116" spans="1:10" x14ac:dyDescent="0.25">
      <c r="A116" t="s">
        <v>170</v>
      </c>
      <c r="B116">
        <v>144</v>
      </c>
      <c r="C116" t="s">
        <v>200</v>
      </c>
      <c r="D116">
        <v>2.923</v>
      </c>
      <c r="E116">
        <v>4</v>
      </c>
      <c r="F116">
        <v>87.41</v>
      </c>
      <c r="G116">
        <v>84.486999999999995</v>
      </c>
      <c r="H116" t="b">
        <v>0</v>
      </c>
    </row>
    <row r="117" spans="1:10" x14ac:dyDescent="0.25">
      <c r="A117" t="s">
        <v>170</v>
      </c>
      <c r="B117">
        <v>144</v>
      </c>
      <c r="C117" t="s">
        <v>488</v>
      </c>
      <c r="D117">
        <v>2.923</v>
      </c>
      <c r="E117">
        <v>4</v>
      </c>
      <c r="F117">
        <v>84.486999999999995</v>
      </c>
      <c r="G117">
        <v>81.563999999999993</v>
      </c>
      <c r="H117" t="b">
        <v>1</v>
      </c>
      <c r="I117">
        <v>81.563999999999993</v>
      </c>
      <c r="J117" t="s">
        <v>187</v>
      </c>
    </row>
    <row r="118" spans="1:10" x14ac:dyDescent="0.25">
      <c r="A118" t="s">
        <v>171</v>
      </c>
      <c r="B118">
        <v>96</v>
      </c>
      <c r="C118" t="s">
        <v>184</v>
      </c>
      <c r="D118">
        <v>47.066000000000003</v>
      </c>
      <c r="E118">
        <v>1</v>
      </c>
      <c r="F118">
        <v>96</v>
      </c>
      <c r="G118">
        <v>48.933999999999997</v>
      </c>
      <c r="H118" t="b">
        <v>0</v>
      </c>
    </row>
    <row r="119" spans="1:10" x14ac:dyDescent="0.25">
      <c r="A119" t="s">
        <v>171</v>
      </c>
      <c r="B119">
        <v>96</v>
      </c>
      <c r="C119" t="s">
        <v>472</v>
      </c>
      <c r="D119">
        <v>47.066000000000003</v>
      </c>
      <c r="E119">
        <v>1</v>
      </c>
      <c r="F119">
        <v>48.933999999999997</v>
      </c>
      <c r="G119">
        <v>1.8680000000000001</v>
      </c>
      <c r="H119" t="b">
        <v>1</v>
      </c>
      <c r="I119">
        <v>1.8680000000000001</v>
      </c>
      <c r="J119" t="s">
        <v>197</v>
      </c>
    </row>
    <row r="120" spans="1:10" x14ac:dyDescent="0.25">
      <c r="A120" t="s">
        <v>171</v>
      </c>
      <c r="B120">
        <v>96</v>
      </c>
      <c r="C120" t="s">
        <v>473</v>
      </c>
      <c r="D120">
        <v>47.066000000000003</v>
      </c>
      <c r="E120">
        <v>2</v>
      </c>
      <c r="F120">
        <v>96</v>
      </c>
      <c r="G120">
        <v>48.933999999999997</v>
      </c>
      <c r="H120" t="b">
        <v>0</v>
      </c>
    </row>
    <row r="121" spans="1:10" x14ac:dyDescent="0.25">
      <c r="A121" t="s">
        <v>171</v>
      </c>
      <c r="B121">
        <v>96</v>
      </c>
      <c r="C121" t="s">
        <v>474</v>
      </c>
      <c r="D121">
        <v>47.066000000000003</v>
      </c>
      <c r="E121">
        <v>2</v>
      </c>
      <c r="F121">
        <v>48.933999999999997</v>
      </c>
      <c r="G121">
        <v>1.8680000000000001</v>
      </c>
      <c r="H121" t="b">
        <v>1</v>
      </c>
      <c r="I121">
        <v>1.8680000000000001</v>
      </c>
      <c r="J121" t="s">
        <v>197</v>
      </c>
    </row>
    <row r="122" spans="1:10" x14ac:dyDescent="0.25">
      <c r="A122" t="s">
        <v>171</v>
      </c>
      <c r="B122">
        <v>96</v>
      </c>
      <c r="C122" t="s">
        <v>475</v>
      </c>
      <c r="D122">
        <v>47.066000000000003</v>
      </c>
      <c r="E122">
        <v>3</v>
      </c>
      <c r="F122">
        <v>96</v>
      </c>
      <c r="G122">
        <v>48.933999999999997</v>
      </c>
      <c r="H122" t="b">
        <v>0</v>
      </c>
    </row>
    <row r="123" spans="1:10" x14ac:dyDescent="0.25">
      <c r="A123" t="s">
        <v>171</v>
      </c>
      <c r="B123">
        <v>96</v>
      </c>
      <c r="C123" t="s">
        <v>539</v>
      </c>
      <c r="D123">
        <v>47.066000000000003</v>
      </c>
      <c r="E123">
        <v>3</v>
      </c>
      <c r="F123">
        <v>48.933999999999997</v>
      </c>
      <c r="G123">
        <v>1.8680000000000001</v>
      </c>
      <c r="H123" t="b">
        <v>1</v>
      </c>
      <c r="I123">
        <v>1.8680000000000001</v>
      </c>
      <c r="J123" t="s">
        <v>197</v>
      </c>
    </row>
    <row r="124" spans="1:10" x14ac:dyDescent="0.25">
      <c r="A124" t="s">
        <v>171</v>
      </c>
      <c r="B124">
        <v>96</v>
      </c>
      <c r="C124" t="s">
        <v>274</v>
      </c>
      <c r="D124">
        <v>38.81</v>
      </c>
      <c r="E124">
        <v>4</v>
      </c>
      <c r="F124">
        <v>96</v>
      </c>
      <c r="G124">
        <v>57.19</v>
      </c>
      <c r="H124" t="b">
        <v>0</v>
      </c>
    </row>
    <row r="125" spans="1:10" x14ac:dyDescent="0.25">
      <c r="A125" t="s">
        <v>171</v>
      </c>
      <c r="B125">
        <v>96</v>
      </c>
      <c r="C125" t="s">
        <v>437</v>
      </c>
      <c r="D125">
        <v>23.939</v>
      </c>
      <c r="E125">
        <v>4</v>
      </c>
      <c r="F125">
        <v>57.19</v>
      </c>
      <c r="G125">
        <v>33.250999999999998</v>
      </c>
      <c r="H125" t="b">
        <v>0</v>
      </c>
    </row>
    <row r="126" spans="1:10" x14ac:dyDescent="0.25">
      <c r="A126" t="s">
        <v>171</v>
      </c>
      <c r="B126">
        <v>96</v>
      </c>
      <c r="C126" t="s">
        <v>438</v>
      </c>
      <c r="D126">
        <v>23.939</v>
      </c>
      <c r="E126">
        <v>4</v>
      </c>
      <c r="F126">
        <v>33.250999999999998</v>
      </c>
      <c r="G126">
        <v>9.3119999999999994</v>
      </c>
      <c r="H126" t="b">
        <v>1</v>
      </c>
      <c r="I126">
        <v>9.3119999999999994</v>
      </c>
      <c r="J126" t="s">
        <v>197</v>
      </c>
    </row>
    <row r="127" spans="1:10" x14ac:dyDescent="0.25">
      <c r="A127" t="s">
        <v>171</v>
      </c>
      <c r="B127">
        <v>96</v>
      </c>
      <c r="C127" t="s">
        <v>229</v>
      </c>
      <c r="D127">
        <v>12.433</v>
      </c>
      <c r="E127">
        <v>5</v>
      </c>
      <c r="F127">
        <v>96</v>
      </c>
      <c r="G127">
        <v>83.566999999999993</v>
      </c>
      <c r="H127" t="b">
        <v>0</v>
      </c>
    </row>
    <row r="128" spans="1:10" x14ac:dyDescent="0.25">
      <c r="A128" t="s">
        <v>171</v>
      </c>
      <c r="B128">
        <v>96</v>
      </c>
      <c r="C128" t="s">
        <v>230</v>
      </c>
      <c r="D128">
        <v>12.433</v>
      </c>
      <c r="E128">
        <v>5</v>
      </c>
      <c r="F128">
        <v>83.566999999999993</v>
      </c>
      <c r="G128">
        <v>71.134</v>
      </c>
      <c r="H128" t="b">
        <v>1</v>
      </c>
      <c r="I128">
        <v>71.134</v>
      </c>
      <c r="J128" t="s">
        <v>187</v>
      </c>
    </row>
    <row r="129" spans="1:10" x14ac:dyDescent="0.25">
      <c r="A129" t="s">
        <v>172</v>
      </c>
      <c r="B129">
        <v>144</v>
      </c>
      <c r="C129" t="s">
        <v>304</v>
      </c>
      <c r="D129">
        <v>46.531999999999996</v>
      </c>
      <c r="E129">
        <v>1</v>
      </c>
      <c r="F129">
        <v>144</v>
      </c>
      <c r="G129">
        <v>97.468000000000004</v>
      </c>
      <c r="H129" t="b">
        <v>0</v>
      </c>
    </row>
    <row r="130" spans="1:10" x14ac:dyDescent="0.25">
      <c r="A130" t="s">
        <v>172</v>
      </c>
      <c r="B130">
        <v>144</v>
      </c>
      <c r="C130" t="s">
        <v>305</v>
      </c>
      <c r="D130">
        <v>46.531999999999996</v>
      </c>
      <c r="E130">
        <v>1</v>
      </c>
      <c r="F130">
        <v>97.468000000000004</v>
      </c>
      <c r="G130">
        <v>50.936</v>
      </c>
      <c r="H130" t="b">
        <v>0</v>
      </c>
    </row>
    <row r="131" spans="1:10" x14ac:dyDescent="0.25">
      <c r="A131" t="s">
        <v>172</v>
      </c>
      <c r="B131">
        <v>144</v>
      </c>
      <c r="C131" t="s">
        <v>306</v>
      </c>
      <c r="D131">
        <v>46.531999999999996</v>
      </c>
      <c r="E131">
        <v>1</v>
      </c>
      <c r="F131">
        <v>50.936</v>
      </c>
      <c r="G131">
        <v>4.4039999999999999</v>
      </c>
      <c r="H131" t="b">
        <v>1</v>
      </c>
      <c r="I131">
        <v>4.4039999999999999</v>
      </c>
      <c r="J131" t="s">
        <v>197</v>
      </c>
    </row>
    <row r="132" spans="1:10" x14ac:dyDescent="0.25">
      <c r="A132" t="s">
        <v>172</v>
      </c>
      <c r="B132">
        <v>144</v>
      </c>
      <c r="C132" t="s">
        <v>307</v>
      </c>
      <c r="D132">
        <v>46.531999999999996</v>
      </c>
      <c r="E132">
        <v>2</v>
      </c>
      <c r="F132">
        <v>144</v>
      </c>
      <c r="G132">
        <v>97.468000000000004</v>
      </c>
      <c r="H132" t="b">
        <v>0</v>
      </c>
    </row>
    <row r="133" spans="1:10" x14ac:dyDescent="0.25">
      <c r="A133" t="s">
        <v>172</v>
      </c>
      <c r="B133">
        <v>144</v>
      </c>
      <c r="C133" t="s">
        <v>308</v>
      </c>
      <c r="D133">
        <v>46.531999999999996</v>
      </c>
      <c r="E133">
        <v>2</v>
      </c>
      <c r="F133">
        <v>97.468000000000004</v>
      </c>
      <c r="G133">
        <v>50.936</v>
      </c>
      <c r="H133" t="b">
        <v>0</v>
      </c>
    </row>
    <row r="134" spans="1:10" x14ac:dyDescent="0.25">
      <c r="A134" t="s">
        <v>172</v>
      </c>
      <c r="B134">
        <v>144</v>
      </c>
      <c r="C134" t="s">
        <v>381</v>
      </c>
      <c r="D134">
        <v>29.132000000000001</v>
      </c>
      <c r="E134">
        <v>2</v>
      </c>
      <c r="F134">
        <v>50.936</v>
      </c>
      <c r="G134">
        <v>21.803999999999998</v>
      </c>
      <c r="H134" t="b">
        <v>1</v>
      </c>
      <c r="I134">
        <v>21.803999999999998</v>
      </c>
      <c r="J134" t="s">
        <v>187</v>
      </c>
    </row>
    <row r="135" spans="1:10" x14ac:dyDescent="0.25">
      <c r="A135" t="s">
        <v>172</v>
      </c>
      <c r="B135">
        <v>144</v>
      </c>
      <c r="C135" t="s">
        <v>382</v>
      </c>
      <c r="D135">
        <v>29.132000000000001</v>
      </c>
      <c r="E135">
        <v>3</v>
      </c>
      <c r="F135">
        <v>144</v>
      </c>
      <c r="G135">
        <v>114.86799999999999</v>
      </c>
      <c r="H135" t="b">
        <v>0</v>
      </c>
    </row>
    <row r="136" spans="1:10" x14ac:dyDescent="0.25">
      <c r="A136" t="s">
        <v>172</v>
      </c>
      <c r="B136">
        <v>144</v>
      </c>
      <c r="C136" t="s">
        <v>383</v>
      </c>
      <c r="D136">
        <v>29.132000000000001</v>
      </c>
      <c r="E136">
        <v>3</v>
      </c>
      <c r="F136">
        <v>114.86799999999999</v>
      </c>
      <c r="G136">
        <v>85.736000000000004</v>
      </c>
      <c r="H136" t="b">
        <v>0</v>
      </c>
    </row>
    <row r="137" spans="1:10" x14ac:dyDescent="0.25">
      <c r="A137" t="s">
        <v>172</v>
      </c>
      <c r="B137">
        <v>144</v>
      </c>
      <c r="C137" t="s">
        <v>384</v>
      </c>
      <c r="D137">
        <v>29.132000000000001</v>
      </c>
      <c r="E137">
        <v>3</v>
      </c>
      <c r="F137">
        <v>85.736000000000004</v>
      </c>
      <c r="G137">
        <v>56.603999999999999</v>
      </c>
      <c r="H137" t="b">
        <v>0</v>
      </c>
    </row>
    <row r="138" spans="1:10" x14ac:dyDescent="0.25">
      <c r="A138" t="s">
        <v>172</v>
      </c>
      <c r="B138">
        <v>144</v>
      </c>
      <c r="C138" t="s">
        <v>449</v>
      </c>
      <c r="D138">
        <v>29.132000000000001</v>
      </c>
      <c r="E138">
        <v>3</v>
      </c>
      <c r="F138">
        <v>56.603999999999999</v>
      </c>
      <c r="G138">
        <v>27.472000000000001</v>
      </c>
      <c r="H138" t="b">
        <v>0</v>
      </c>
    </row>
    <row r="139" spans="1:10" x14ac:dyDescent="0.25">
      <c r="A139" t="s">
        <v>172</v>
      </c>
      <c r="B139">
        <v>144</v>
      </c>
      <c r="C139" t="s">
        <v>309</v>
      </c>
      <c r="D139">
        <v>11.577999999999999</v>
      </c>
      <c r="E139">
        <v>3</v>
      </c>
      <c r="F139">
        <v>27.472000000000001</v>
      </c>
      <c r="G139">
        <v>15.894</v>
      </c>
      <c r="H139" t="b">
        <v>0</v>
      </c>
    </row>
    <row r="140" spans="1:10" x14ac:dyDescent="0.25">
      <c r="A140" t="s">
        <v>172</v>
      </c>
      <c r="B140">
        <v>144</v>
      </c>
      <c r="C140" t="s">
        <v>310</v>
      </c>
      <c r="D140">
        <v>11.577999999999999</v>
      </c>
      <c r="E140">
        <v>3</v>
      </c>
      <c r="F140">
        <v>15.894</v>
      </c>
      <c r="G140">
        <v>4.3159999999999998</v>
      </c>
      <c r="H140" t="b">
        <v>1</v>
      </c>
      <c r="I140">
        <v>4.3159999999999998</v>
      </c>
      <c r="J140" t="s">
        <v>197</v>
      </c>
    </row>
    <row r="141" spans="1:10" x14ac:dyDescent="0.25">
      <c r="A141" t="s">
        <v>172</v>
      </c>
      <c r="B141">
        <v>144</v>
      </c>
      <c r="C141" t="s">
        <v>430</v>
      </c>
      <c r="D141">
        <v>9.7159999999999993</v>
      </c>
      <c r="E141">
        <v>4</v>
      </c>
      <c r="F141">
        <v>144</v>
      </c>
      <c r="G141">
        <v>134.28399999999999</v>
      </c>
      <c r="H141" t="b">
        <v>0</v>
      </c>
    </row>
    <row r="142" spans="1:10" x14ac:dyDescent="0.25">
      <c r="A142" t="s">
        <v>172</v>
      </c>
      <c r="B142">
        <v>144</v>
      </c>
      <c r="C142" t="s">
        <v>431</v>
      </c>
      <c r="D142">
        <v>9.7159999999999993</v>
      </c>
      <c r="E142">
        <v>4</v>
      </c>
      <c r="F142">
        <v>134.28399999999999</v>
      </c>
      <c r="G142">
        <v>124.568</v>
      </c>
      <c r="H142" t="b">
        <v>0</v>
      </c>
    </row>
    <row r="143" spans="1:10" x14ac:dyDescent="0.25">
      <c r="A143" t="s">
        <v>172</v>
      </c>
      <c r="B143">
        <v>144</v>
      </c>
      <c r="C143" t="s">
        <v>432</v>
      </c>
      <c r="D143">
        <v>9.7159999999999993</v>
      </c>
      <c r="E143">
        <v>4</v>
      </c>
      <c r="F143">
        <v>124.568</v>
      </c>
      <c r="G143">
        <v>114.852</v>
      </c>
      <c r="H143" t="b">
        <v>0</v>
      </c>
    </row>
    <row r="144" spans="1:10" x14ac:dyDescent="0.25">
      <c r="A144" t="s">
        <v>172</v>
      </c>
      <c r="B144">
        <v>144</v>
      </c>
      <c r="C144" t="s">
        <v>433</v>
      </c>
      <c r="D144">
        <v>9.7159999999999993</v>
      </c>
      <c r="E144">
        <v>4</v>
      </c>
      <c r="F144">
        <v>114.852</v>
      </c>
      <c r="G144">
        <v>105.136</v>
      </c>
      <c r="H144" t="b">
        <v>0</v>
      </c>
    </row>
    <row r="145" spans="1:10" x14ac:dyDescent="0.25">
      <c r="A145" t="s">
        <v>172</v>
      </c>
      <c r="B145">
        <v>144</v>
      </c>
      <c r="C145" t="s">
        <v>434</v>
      </c>
      <c r="D145">
        <v>9.7159999999999993</v>
      </c>
      <c r="E145">
        <v>4</v>
      </c>
      <c r="F145">
        <v>105.136</v>
      </c>
      <c r="G145">
        <v>95.42</v>
      </c>
      <c r="H145" t="b">
        <v>0</v>
      </c>
    </row>
    <row r="146" spans="1:10" x14ac:dyDescent="0.25">
      <c r="A146" t="s">
        <v>172</v>
      </c>
      <c r="B146">
        <v>144</v>
      </c>
      <c r="C146" t="s">
        <v>224</v>
      </c>
      <c r="D146">
        <v>5.4370000000000003</v>
      </c>
      <c r="E146">
        <v>4</v>
      </c>
      <c r="F146">
        <v>95.42</v>
      </c>
      <c r="G146">
        <v>89.983000000000004</v>
      </c>
      <c r="H146" t="b">
        <v>0</v>
      </c>
    </row>
    <row r="147" spans="1:10" x14ac:dyDescent="0.25">
      <c r="A147" t="s">
        <v>172</v>
      </c>
      <c r="B147">
        <v>144</v>
      </c>
      <c r="C147" t="s">
        <v>498</v>
      </c>
      <c r="D147">
        <v>5.4370000000000003</v>
      </c>
      <c r="E147">
        <v>4</v>
      </c>
      <c r="F147">
        <v>89.983000000000004</v>
      </c>
      <c r="G147">
        <v>84.546000000000006</v>
      </c>
      <c r="H147" t="b">
        <v>0</v>
      </c>
    </row>
    <row r="148" spans="1:10" x14ac:dyDescent="0.25">
      <c r="A148" t="s">
        <v>172</v>
      </c>
      <c r="B148">
        <v>144</v>
      </c>
      <c r="C148" t="s">
        <v>499</v>
      </c>
      <c r="D148">
        <v>5.4370000000000003</v>
      </c>
      <c r="E148">
        <v>4</v>
      </c>
      <c r="F148">
        <v>84.546000000000006</v>
      </c>
      <c r="G148">
        <v>79.108999999999995</v>
      </c>
      <c r="H148" t="b">
        <v>0</v>
      </c>
    </row>
    <row r="149" spans="1:10" x14ac:dyDescent="0.25">
      <c r="A149" t="s">
        <v>172</v>
      </c>
      <c r="B149">
        <v>144</v>
      </c>
      <c r="C149" t="s">
        <v>193</v>
      </c>
      <c r="D149">
        <v>3.8340000000000001</v>
      </c>
      <c r="E149">
        <v>4</v>
      </c>
      <c r="F149">
        <v>79.108999999999995</v>
      </c>
      <c r="G149">
        <v>75.275000000000006</v>
      </c>
      <c r="H149" t="b">
        <v>0</v>
      </c>
    </row>
    <row r="150" spans="1:10" x14ac:dyDescent="0.25">
      <c r="A150" t="s">
        <v>172</v>
      </c>
      <c r="B150">
        <v>144</v>
      </c>
      <c r="C150" t="s">
        <v>506</v>
      </c>
      <c r="D150">
        <v>3.8340000000000001</v>
      </c>
      <c r="E150">
        <v>4</v>
      </c>
      <c r="F150">
        <v>75.275000000000006</v>
      </c>
      <c r="G150">
        <v>71.441000000000003</v>
      </c>
      <c r="H150" t="b">
        <v>1</v>
      </c>
      <c r="I150">
        <v>71.441000000000003</v>
      </c>
      <c r="J150" t="s">
        <v>187</v>
      </c>
    </row>
    <row r="151" spans="1:10" x14ac:dyDescent="0.25">
      <c r="A151" t="s">
        <v>173</v>
      </c>
      <c r="B151">
        <v>96</v>
      </c>
      <c r="C151" t="s">
        <v>275</v>
      </c>
      <c r="D151">
        <v>41.039000000000001</v>
      </c>
      <c r="E151">
        <v>1</v>
      </c>
      <c r="F151">
        <v>96</v>
      </c>
      <c r="G151">
        <v>54.960999999999999</v>
      </c>
      <c r="H151" t="b">
        <v>0</v>
      </c>
    </row>
    <row r="152" spans="1:10" x14ac:dyDescent="0.25">
      <c r="A152" t="s">
        <v>173</v>
      </c>
      <c r="B152">
        <v>96</v>
      </c>
      <c r="C152" t="s">
        <v>481</v>
      </c>
      <c r="D152">
        <v>41.039000000000001</v>
      </c>
      <c r="E152">
        <v>1</v>
      </c>
      <c r="F152">
        <v>54.960999999999999</v>
      </c>
      <c r="G152">
        <v>13.922000000000001</v>
      </c>
      <c r="H152" t="b">
        <v>1</v>
      </c>
      <c r="I152">
        <v>13.922000000000001</v>
      </c>
      <c r="J152" t="s">
        <v>187</v>
      </c>
    </row>
    <row r="153" spans="1:10" x14ac:dyDescent="0.25">
      <c r="A153" t="s">
        <v>173</v>
      </c>
      <c r="B153">
        <v>96</v>
      </c>
      <c r="C153" t="s">
        <v>482</v>
      </c>
      <c r="D153">
        <v>41.039000000000001</v>
      </c>
      <c r="E153">
        <v>2</v>
      </c>
      <c r="F153">
        <v>96</v>
      </c>
      <c r="G153">
        <v>54.960999999999999</v>
      </c>
      <c r="H153" t="b">
        <v>0</v>
      </c>
    </row>
    <row r="154" spans="1:10" x14ac:dyDescent="0.25">
      <c r="A154" t="s">
        <v>173</v>
      </c>
      <c r="B154">
        <v>96</v>
      </c>
      <c r="C154" t="s">
        <v>483</v>
      </c>
      <c r="D154">
        <v>41.039000000000001</v>
      </c>
      <c r="E154">
        <v>2</v>
      </c>
      <c r="F154">
        <v>54.960999999999999</v>
      </c>
      <c r="G154">
        <v>13.922000000000001</v>
      </c>
      <c r="H154" t="b">
        <v>1</v>
      </c>
      <c r="I154">
        <v>13.922000000000001</v>
      </c>
      <c r="J154" t="s">
        <v>187</v>
      </c>
    </row>
    <row r="155" spans="1:10" x14ac:dyDescent="0.25">
      <c r="A155" t="s">
        <v>173</v>
      </c>
      <c r="B155">
        <v>96</v>
      </c>
      <c r="C155" t="s">
        <v>484</v>
      </c>
      <c r="D155">
        <v>41.039000000000001</v>
      </c>
      <c r="E155">
        <v>3</v>
      </c>
      <c r="F155">
        <v>96</v>
      </c>
      <c r="G155">
        <v>54.960999999999999</v>
      </c>
      <c r="H155" t="b">
        <v>0</v>
      </c>
    </row>
    <row r="156" spans="1:10" x14ac:dyDescent="0.25">
      <c r="A156" t="s">
        <v>173</v>
      </c>
      <c r="B156">
        <v>96</v>
      </c>
      <c r="C156" t="s">
        <v>343</v>
      </c>
      <c r="D156">
        <v>36.165999999999997</v>
      </c>
      <c r="E156">
        <v>3</v>
      </c>
      <c r="F156">
        <v>54.960999999999999</v>
      </c>
      <c r="G156">
        <v>18.795000000000002</v>
      </c>
      <c r="H156" t="b">
        <v>1</v>
      </c>
      <c r="I156">
        <v>18.795000000000002</v>
      </c>
      <c r="J156" t="s">
        <v>187</v>
      </c>
    </row>
    <row r="157" spans="1:10" x14ac:dyDescent="0.25">
      <c r="A157" t="s">
        <v>173</v>
      </c>
      <c r="B157">
        <v>96</v>
      </c>
      <c r="C157" t="s">
        <v>344</v>
      </c>
      <c r="D157">
        <v>36.165999999999997</v>
      </c>
      <c r="E157">
        <v>4</v>
      </c>
      <c r="F157">
        <v>96</v>
      </c>
      <c r="G157">
        <v>59.834000000000003</v>
      </c>
      <c r="H157" t="b">
        <v>0</v>
      </c>
    </row>
    <row r="158" spans="1:10" x14ac:dyDescent="0.25">
      <c r="A158" t="s">
        <v>173</v>
      </c>
      <c r="B158">
        <v>96</v>
      </c>
      <c r="C158" t="s">
        <v>345</v>
      </c>
      <c r="D158">
        <v>36.165999999999997</v>
      </c>
      <c r="E158">
        <v>4</v>
      </c>
      <c r="F158">
        <v>59.834000000000003</v>
      </c>
      <c r="G158">
        <v>23.667999999999999</v>
      </c>
      <c r="H158" t="b">
        <v>1</v>
      </c>
      <c r="I158">
        <v>23.667999999999999</v>
      </c>
      <c r="J158" t="s">
        <v>187</v>
      </c>
    </row>
    <row r="159" spans="1:10" x14ac:dyDescent="0.25">
      <c r="A159" t="s">
        <v>173</v>
      </c>
      <c r="B159">
        <v>96</v>
      </c>
      <c r="C159" t="s">
        <v>455</v>
      </c>
      <c r="D159">
        <v>36.165999999999997</v>
      </c>
      <c r="E159">
        <v>5</v>
      </c>
      <c r="F159">
        <v>96</v>
      </c>
      <c r="G159">
        <v>59.834000000000003</v>
      </c>
      <c r="H159" t="b">
        <v>0</v>
      </c>
    </row>
    <row r="160" spans="1:10" x14ac:dyDescent="0.25">
      <c r="A160" t="s">
        <v>173</v>
      </c>
      <c r="B160">
        <v>96</v>
      </c>
      <c r="C160" t="s">
        <v>503</v>
      </c>
      <c r="D160">
        <v>36.165999999999997</v>
      </c>
      <c r="E160">
        <v>5</v>
      </c>
      <c r="F160">
        <v>59.834000000000003</v>
      </c>
      <c r="G160">
        <v>23.667999999999999</v>
      </c>
      <c r="H160" t="b">
        <v>1</v>
      </c>
      <c r="I160">
        <v>23.667999999999999</v>
      </c>
      <c r="J160" t="s">
        <v>187</v>
      </c>
    </row>
    <row r="161" spans="1:10" x14ac:dyDescent="0.25">
      <c r="A161" t="s">
        <v>173</v>
      </c>
      <c r="B161">
        <v>96</v>
      </c>
      <c r="C161" t="s">
        <v>504</v>
      </c>
      <c r="D161">
        <v>36.165999999999997</v>
      </c>
      <c r="E161">
        <v>6</v>
      </c>
      <c r="F161">
        <v>96</v>
      </c>
      <c r="G161">
        <v>59.834000000000003</v>
      </c>
      <c r="H161" t="b">
        <v>0</v>
      </c>
    </row>
    <row r="162" spans="1:10" x14ac:dyDescent="0.25">
      <c r="A162" t="s">
        <v>173</v>
      </c>
      <c r="B162">
        <v>96</v>
      </c>
      <c r="C162" t="s">
        <v>288</v>
      </c>
      <c r="D162">
        <v>32.603999999999999</v>
      </c>
      <c r="E162">
        <v>6</v>
      </c>
      <c r="F162">
        <v>59.834000000000003</v>
      </c>
      <c r="G162">
        <v>27.23</v>
      </c>
      <c r="H162" t="b">
        <v>1</v>
      </c>
      <c r="I162">
        <v>27.23</v>
      </c>
      <c r="J162" t="s">
        <v>187</v>
      </c>
    </row>
    <row r="163" spans="1:10" x14ac:dyDescent="0.25">
      <c r="A163" t="s">
        <v>173</v>
      </c>
      <c r="B163">
        <v>96</v>
      </c>
      <c r="C163" t="s">
        <v>289</v>
      </c>
      <c r="D163">
        <v>32.603999999999999</v>
      </c>
      <c r="E163">
        <v>7</v>
      </c>
      <c r="F163">
        <v>96</v>
      </c>
      <c r="G163">
        <v>63.396000000000001</v>
      </c>
      <c r="H163" t="b">
        <v>0</v>
      </c>
    </row>
    <row r="164" spans="1:10" x14ac:dyDescent="0.25">
      <c r="A164" t="s">
        <v>173</v>
      </c>
      <c r="B164">
        <v>96</v>
      </c>
      <c r="C164" t="s">
        <v>290</v>
      </c>
      <c r="D164">
        <v>32.603999999999999</v>
      </c>
      <c r="E164">
        <v>7</v>
      </c>
      <c r="F164">
        <v>63.396000000000001</v>
      </c>
      <c r="G164">
        <v>30.792000000000002</v>
      </c>
      <c r="H164" t="b">
        <v>0</v>
      </c>
    </row>
    <row r="165" spans="1:10" x14ac:dyDescent="0.25">
      <c r="A165" t="s">
        <v>173</v>
      </c>
      <c r="B165">
        <v>96</v>
      </c>
      <c r="C165" t="s">
        <v>314</v>
      </c>
      <c r="D165">
        <v>12.802</v>
      </c>
      <c r="E165">
        <v>7</v>
      </c>
      <c r="F165">
        <v>30.792000000000002</v>
      </c>
      <c r="G165">
        <v>17.989999999999998</v>
      </c>
      <c r="H165" t="b">
        <v>0</v>
      </c>
    </row>
    <row r="166" spans="1:10" x14ac:dyDescent="0.25">
      <c r="A166" t="s">
        <v>173</v>
      </c>
      <c r="B166">
        <v>96</v>
      </c>
      <c r="C166" t="s">
        <v>461</v>
      </c>
      <c r="D166">
        <v>12.802</v>
      </c>
      <c r="E166">
        <v>7</v>
      </c>
      <c r="F166">
        <v>17.989999999999998</v>
      </c>
      <c r="G166">
        <v>5.1879999999999997</v>
      </c>
      <c r="H166" t="b">
        <v>1</v>
      </c>
      <c r="I166">
        <v>5.1879999999999997</v>
      </c>
      <c r="J166" t="s">
        <v>197</v>
      </c>
    </row>
    <row r="167" spans="1:10" x14ac:dyDescent="0.25">
      <c r="A167" t="s">
        <v>173</v>
      </c>
      <c r="B167">
        <v>96</v>
      </c>
      <c r="C167" t="s">
        <v>462</v>
      </c>
      <c r="D167">
        <v>12.802</v>
      </c>
      <c r="E167">
        <v>8</v>
      </c>
      <c r="F167">
        <v>96</v>
      </c>
      <c r="G167">
        <v>83.197999999999993</v>
      </c>
      <c r="H167" t="b">
        <v>0</v>
      </c>
    </row>
    <row r="168" spans="1:10" x14ac:dyDescent="0.25">
      <c r="A168" t="s">
        <v>173</v>
      </c>
      <c r="B168">
        <v>96</v>
      </c>
      <c r="C168" t="s">
        <v>463</v>
      </c>
      <c r="D168">
        <v>12.802</v>
      </c>
      <c r="E168">
        <v>8</v>
      </c>
      <c r="F168">
        <v>83.197999999999993</v>
      </c>
      <c r="G168">
        <v>70.396000000000001</v>
      </c>
      <c r="H168" t="b">
        <v>0</v>
      </c>
    </row>
    <row r="169" spans="1:10" x14ac:dyDescent="0.25">
      <c r="A169" t="s">
        <v>173</v>
      </c>
      <c r="B169">
        <v>96</v>
      </c>
      <c r="C169" t="s">
        <v>464</v>
      </c>
      <c r="D169">
        <v>12.802</v>
      </c>
      <c r="E169">
        <v>8</v>
      </c>
      <c r="F169">
        <v>70.396000000000001</v>
      </c>
      <c r="G169">
        <v>57.594000000000001</v>
      </c>
      <c r="H169" t="b">
        <v>0</v>
      </c>
    </row>
    <row r="170" spans="1:10" x14ac:dyDescent="0.25">
      <c r="A170" t="s">
        <v>173</v>
      </c>
      <c r="B170">
        <v>96</v>
      </c>
      <c r="C170" t="s">
        <v>540</v>
      </c>
      <c r="D170">
        <v>12.802</v>
      </c>
      <c r="E170">
        <v>8</v>
      </c>
      <c r="F170">
        <v>57.594000000000001</v>
      </c>
      <c r="G170">
        <v>44.792000000000002</v>
      </c>
      <c r="H170" t="b">
        <v>0</v>
      </c>
    </row>
    <row r="171" spans="1:10" x14ac:dyDescent="0.25">
      <c r="A171" t="s">
        <v>173</v>
      </c>
      <c r="B171">
        <v>96</v>
      </c>
      <c r="C171" t="s">
        <v>362</v>
      </c>
      <c r="D171">
        <v>8.59</v>
      </c>
      <c r="E171">
        <v>8</v>
      </c>
      <c r="F171">
        <v>44.792000000000002</v>
      </c>
      <c r="G171">
        <v>36.201999999999998</v>
      </c>
      <c r="H171" t="b">
        <v>0</v>
      </c>
    </row>
    <row r="172" spans="1:10" x14ac:dyDescent="0.25">
      <c r="A172" t="s">
        <v>173</v>
      </c>
      <c r="B172">
        <v>96</v>
      </c>
      <c r="C172" t="s">
        <v>363</v>
      </c>
      <c r="D172">
        <v>8.59</v>
      </c>
      <c r="E172">
        <v>8</v>
      </c>
      <c r="F172">
        <v>36.201999999999998</v>
      </c>
      <c r="G172">
        <v>27.611999999999998</v>
      </c>
      <c r="H172" t="b">
        <v>0</v>
      </c>
    </row>
    <row r="173" spans="1:10" x14ac:dyDescent="0.25">
      <c r="A173" t="s">
        <v>173</v>
      </c>
      <c r="B173">
        <v>96</v>
      </c>
      <c r="C173" t="s">
        <v>364</v>
      </c>
      <c r="D173">
        <v>8.59</v>
      </c>
      <c r="E173">
        <v>8</v>
      </c>
      <c r="F173">
        <v>27.611999999999998</v>
      </c>
      <c r="G173">
        <v>19.021999999999998</v>
      </c>
      <c r="H173" t="b">
        <v>0</v>
      </c>
    </row>
    <row r="174" spans="1:10" x14ac:dyDescent="0.25">
      <c r="A174" t="s">
        <v>173</v>
      </c>
      <c r="B174">
        <v>96</v>
      </c>
      <c r="C174" t="s">
        <v>365</v>
      </c>
      <c r="D174">
        <v>8.59</v>
      </c>
      <c r="E174">
        <v>8</v>
      </c>
      <c r="F174">
        <v>19.021999999999998</v>
      </c>
      <c r="G174">
        <v>10.432</v>
      </c>
      <c r="H174" t="b">
        <v>0</v>
      </c>
    </row>
    <row r="175" spans="1:10" x14ac:dyDescent="0.25">
      <c r="A175" t="s">
        <v>173</v>
      </c>
      <c r="B175">
        <v>96</v>
      </c>
      <c r="C175" t="s">
        <v>225</v>
      </c>
      <c r="D175">
        <v>1.893</v>
      </c>
      <c r="E175">
        <v>8</v>
      </c>
      <c r="F175">
        <v>10.432</v>
      </c>
      <c r="G175">
        <v>8.5389999999999997</v>
      </c>
      <c r="H175" t="b">
        <v>0</v>
      </c>
    </row>
    <row r="176" spans="1:10" x14ac:dyDescent="0.25">
      <c r="A176" t="s">
        <v>173</v>
      </c>
      <c r="B176">
        <v>96</v>
      </c>
      <c r="C176" t="s">
        <v>226</v>
      </c>
      <c r="D176">
        <v>1.893</v>
      </c>
      <c r="E176">
        <v>8</v>
      </c>
      <c r="F176">
        <v>8.5389999999999997</v>
      </c>
      <c r="G176">
        <v>6.6459999999999999</v>
      </c>
      <c r="H176" t="b">
        <v>0</v>
      </c>
    </row>
    <row r="177" spans="1:10" x14ac:dyDescent="0.25">
      <c r="A177" t="s">
        <v>173</v>
      </c>
      <c r="B177">
        <v>96</v>
      </c>
      <c r="C177" t="s">
        <v>505</v>
      </c>
      <c r="D177">
        <v>1.893</v>
      </c>
      <c r="E177">
        <v>8</v>
      </c>
      <c r="F177">
        <v>6.6459999999999999</v>
      </c>
      <c r="G177">
        <v>4.7530000000000001</v>
      </c>
      <c r="H177" t="b">
        <v>0</v>
      </c>
    </row>
    <row r="178" spans="1:10" x14ac:dyDescent="0.25">
      <c r="A178" t="s">
        <v>173</v>
      </c>
      <c r="B178">
        <v>96</v>
      </c>
      <c r="C178" t="s">
        <v>541</v>
      </c>
      <c r="D178">
        <v>1.893</v>
      </c>
      <c r="E178">
        <v>8</v>
      </c>
      <c r="F178">
        <v>4.7530000000000001</v>
      </c>
      <c r="G178">
        <v>2.86</v>
      </c>
      <c r="H178" t="b">
        <v>0</v>
      </c>
    </row>
    <row r="179" spans="1:10" x14ac:dyDescent="0.25">
      <c r="A179" t="s">
        <v>173</v>
      </c>
      <c r="B179">
        <v>96</v>
      </c>
      <c r="C179" t="s">
        <v>542</v>
      </c>
      <c r="D179">
        <v>1.893</v>
      </c>
      <c r="E179">
        <v>8</v>
      </c>
      <c r="F179">
        <v>2.86</v>
      </c>
      <c r="G179">
        <v>0.96699999999999997</v>
      </c>
      <c r="H179" t="b">
        <v>1</v>
      </c>
      <c r="I179">
        <v>0.96699999999999997</v>
      </c>
      <c r="J179" t="s">
        <v>197</v>
      </c>
    </row>
    <row r="180" spans="1:10" x14ac:dyDescent="0.25">
      <c r="A180" t="s">
        <v>174</v>
      </c>
      <c r="B180">
        <v>144</v>
      </c>
      <c r="C180" t="s">
        <v>336</v>
      </c>
      <c r="D180">
        <v>44.517000000000003</v>
      </c>
      <c r="E180">
        <v>1</v>
      </c>
      <c r="F180">
        <v>144</v>
      </c>
      <c r="G180">
        <v>99.483000000000004</v>
      </c>
      <c r="H180" t="b">
        <v>1</v>
      </c>
      <c r="I180">
        <v>99.483000000000004</v>
      </c>
      <c r="J180" t="s">
        <v>187</v>
      </c>
    </row>
    <row r="181" spans="1:10" x14ac:dyDescent="0.25">
      <c r="A181" t="s">
        <v>175</v>
      </c>
      <c r="B181">
        <v>96</v>
      </c>
      <c r="C181" t="s">
        <v>354</v>
      </c>
      <c r="D181">
        <v>40.197000000000003</v>
      </c>
      <c r="E181">
        <v>1</v>
      </c>
      <c r="F181">
        <v>96</v>
      </c>
      <c r="G181">
        <v>55.802999999999997</v>
      </c>
      <c r="H181" t="b">
        <v>0</v>
      </c>
    </row>
    <row r="182" spans="1:10" x14ac:dyDescent="0.25">
      <c r="A182" t="s">
        <v>175</v>
      </c>
      <c r="B182">
        <v>96</v>
      </c>
      <c r="C182" t="s">
        <v>355</v>
      </c>
      <c r="D182">
        <v>40.197000000000003</v>
      </c>
      <c r="E182">
        <v>1</v>
      </c>
      <c r="F182">
        <v>55.802999999999997</v>
      </c>
      <c r="G182">
        <v>15.606</v>
      </c>
      <c r="H182" t="b">
        <v>1</v>
      </c>
      <c r="I182">
        <v>15.606</v>
      </c>
      <c r="J182" t="s">
        <v>187</v>
      </c>
    </row>
    <row r="183" spans="1:10" x14ac:dyDescent="0.25">
      <c r="A183" t="s">
        <v>175</v>
      </c>
      <c r="B183">
        <v>96</v>
      </c>
      <c r="C183" t="s">
        <v>284</v>
      </c>
      <c r="D183">
        <v>38.518999999999998</v>
      </c>
      <c r="E183">
        <v>2</v>
      </c>
      <c r="F183">
        <v>96</v>
      </c>
      <c r="G183">
        <v>57.481000000000002</v>
      </c>
      <c r="H183" t="b">
        <v>0</v>
      </c>
    </row>
    <row r="184" spans="1:10" x14ac:dyDescent="0.25">
      <c r="A184" t="s">
        <v>175</v>
      </c>
      <c r="B184">
        <v>96</v>
      </c>
      <c r="C184" t="s">
        <v>285</v>
      </c>
      <c r="D184">
        <v>38.518999999999998</v>
      </c>
      <c r="E184">
        <v>2</v>
      </c>
      <c r="F184">
        <v>57.481000000000002</v>
      </c>
      <c r="G184">
        <v>18.962</v>
      </c>
      <c r="H184" t="b">
        <v>1</v>
      </c>
      <c r="I184">
        <v>18.962</v>
      </c>
      <c r="J184" t="s">
        <v>187</v>
      </c>
    </row>
    <row r="185" spans="1:10" x14ac:dyDescent="0.25">
      <c r="A185" t="s">
        <v>175</v>
      </c>
      <c r="B185">
        <v>96</v>
      </c>
      <c r="C185" t="s">
        <v>286</v>
      </c>
      <c r="D185">
        <v>38.518999999999998</v>
      </c>
      <c r="E185">
        <v>3</v>
      </c>
      <c r="F185">
        <v>96</v>
      </c>
      <c r="G185">
        <v>57.481000000000002</v>
      </c>
      <c r="H185" t="b">
        <v>0</v>
      </c>
    </row>
    <row r="186" spans="1:10" x14ac:dyDescent="0.25">
      <c r="A186" t="s">
        <v>175</v>
      </c>
      <c r="B186">
        <v>96</v>
      </c>
      <c r="C186" t="s">
        <v>287</v>
      </c>
      <c r="D186">
        <v>38.518999999999998</v>
      </c>
      <c r="E186">
        <v>3</v>
      </c>
      <c r="F186">
        <v>57.481000000000002</v>
      </c>
      <c r="G186">
        <v>18.962</v>
      </c>
      <c r="H186" t="b">
        <v>1</v>
      </c>
      <c r="I186">
        <v>18.962</v>
      </c>
      <c r="J186" t="s">
        <v>187</v>
      </c>
    </row>
    <row r="187" spans="1:10" x14ac:dyDescent="0.25">
      <c r="A187" t="s">
        <v>175</v>
      </c>
      <c r="B187">
        <v>96</v>
      </c>
      <c r="C187" t="s">
        <v>211</v>
      </c>
      <c r="D187">
        <v>36.765999999999998</v>
      </c>
      <c r="E187">
        <v>4</v>
      </c>
      <c r="F187">
        <v>96</v>
      </c>
      <c r="G187">
        <v>59.234000000000002</v>
      </c>
      <c r="H187" t="b">
        <v>0</v>
      </c>
    </row>
    <row r="188" spans="1:10" x14ac:dyDescent="0.25">
      <c r="A188" t="s">
        <v>175</v>
      </c>
      <c r="B188">
        <v>96</v>
      </c>
      <c r="C188" t="s">
        <v>212</v>
      </c>
      <c r="D188">
        <v>36.765999999999998</v>
      </c>
      <c r="E188">
        <v>4</v>
      </c>
      <c r="F188">
        <v>59.234000000000002</v>
      </c>
      <c r="G188">
        <v>22.468</v>
      </c>
      <c r="H188" t="b">
        <v>1</v>
      </c>
      <c r="I188">
        <v>22.468</v>
      </c>
      <c r="J188" t="s">
        <v>187</v>
      </c>
    </row>
    <row r="189" spans="1:10" x14ac:dyDescent="0.25">
      <c r="A189" t="s">
        <v>175</v>
      </c>
      <c r="B189">
        <v>96</v>
      </c>
      <c r="C189" t="s">
        <v>213</v>
      </c>
      <c r="D189">
        <v>36.765999999999998</v>
      </c>
      <c r="E189">
        <v>5</v>
      </c>
      <c r="F189">
        <v>96</v>
      </c>
      <c r="G189">
        <v>59.234000000000002</v>
      </c>
      <c r="H189" t="b">
        <v>0</v>
      </c>
    </row>
    <row r="190" spans="1:10" x14ac:dyDescent="0.25">
      <c r="A190" t="s">
        <v>175</v>
      </c>
      <c r="B190">
        <v>96</v>
      </c>
      <c r="C190" t="s">
        <v>214</v>
      </c>
      <c r="D190">
        <v>36.765999999999998</v>
      </c>
      <c r="E190">
        <v>5</v>
      </c>
      <c r="F190">
        <v>59.234000000000002</v>
      </c>
      <c r="G190">
        <v>22.468</v>
      </c>
      <c r="H190" t="b">
        <v>1</v>
      </c>
      <c r="I190">
        <v>22.468</v>
      </c>
      <c r="J190" t="s">
        <v>187</v>
      </c>
    </row>
    <row r="191" spans="1:10" x14ac:dyDescent="0.25">
      <c r="A191" t="s">
        <v>175</v>
      </c>
      <c r="B191">
        <v>96</v>
      </c>
      <c r="C191" t="s">
        <v>215</v>
      </c>
      <c r="D191">
        <v>36.765999999999998</v>
      </c>
      <c r="E191">
        <v>6</v>
      </c>
      <c r="F191">
        <v>96</v>
      </c>
      <c r="G191">
        <v>59.234000000000002</v>
      </c>
      <c r="H191" t="b">
        <v>0</v>
      </c>
    </row>
    <row r="192" spans="1:10" x14ac:dyDescent="0.25">
      <c r="A192" t="s">
        <v>175</v>
      </c>
      <c r="B192">
        <v>96</v>
      </c>
      <c r="C192" t="s">
        <v>543</v>
      </c>
      <c r="D192">
        <v>36.765999999999998</v>
      </c>
      <c r="E192">
        <v>6</v>
      </c>
      <c r="F192">
        <v>59.234000000000002</v>
      </c>
      <c r="G192">
        <v>22.468</v>
      </c>
      <c r="H192" t="b">
        <v>1</v>
      </c>
      <c r="I192">
        <v>22.468</v>
      </c>
      <c r="J192" t="s">
        <v>187</v>
      </c>
    </row>
    <row r="193" spans="1:10" x14ac:dyDescent="0.25">
      <c r="A193" t="s">
        <v>175</v>
      </c>
      <c r="B193">
        <v>96</v>
      </c>
      <c r="C193" t="s">
        <v>385</v>
      </c>
      <c r="D193">
        <v>30.91</v>
      </c>
      <c r="E193">
        <v>7</v>
      </c>
      <c r="F193">
        <v>96</v>
      </c>
      <c r="G193">
        <v>65.09</v>
      </c>
      <c r="H193" t="b">
        <v>0</v>
      </c>
    </row>
    <row r="194" spans="1:10" x14ac:dyDescent="0.25">
      <c r="A194" t="s">
        <v>175</v>
      </c>
      <c r="B194">
        <v>96</v>
      </c>
      <c r="C194" t="s">
        <v>386</v>
      </c>
      <c r="D194">
        <v>30.91</v>
      </c>
      <c r="E194">
        <v>7</v>
      </c>
      <c r="F194">
        <v>65.09</v>
      </c>
      <c r="G194">
        <v>34.18</v>
      </c>
      <c r="H194" t="b">
        <v>0</v>
      </c>
    </row>
    <row r="195" spans="1:10" x14ac:dyDescent="0.25">
      <c r="A195" t="s">
        <v>175</v>
      </c>
      <c r="B195">
        <v>96</v>
      </c>
      <c r="C195" t="s">
        <v>387</v>
      </c>
      <c r="D195">
        <v>30.91</v>
      </c>
      <c r="E195">
        <v>7</v>
      </c>
      <c r="F195">
        <v>34.18</v>
      </c>
      <c r="G195">
        <v>3.27</v>
      </c>
      <c r="H195" t="b">
        <v>1</v>
      </c>
      <c r="I195">
        <v>3.27</v>
      </c>
      <c r="J195" t="s">
        <v>197</v>
      </c>
    </row>
    <row r="196" spans="1:10" x14ac:dyDescent="0.25">
      <c r="A196" t="s">
        <v>175</v>
      </c>
      <c r="B196">
        <v>96</v>
      </c>
      <c r="C196" t="s">
        <v>388</v>
      </c>
      <c r="D196">
        <v>30.91</v>
      </c>
      <c r="E196">
        <v>8</v>
      </c>
      <c r="F196">
        <v>96</v>
      </c>
      <c r="G196">
        <v>65.09</v>
      </c>
      <c r="H196" t="b">
        <v>0</v>
      </c>
    </row>
    <row r="197" spans="1:10" x14ac:dyDescent="0.25">
      <c r="A197" t="s">
        <v>175</v>
      </c>
      <c r="B197">
        <v>96</v>
      </c>
      <c r="C197" t="s">
        <v>389</v>
      </c>
      <c r="D197">
        <v>30.91</v>
      </c>
      <c r="E197">
        <v>8</v>
      </c>
      <c r="F197">
        <v>65.09</v>
      </c>
      <c r="G197">
        <v>34.18</v>
      </c>
      <c r="H197" t="b">
        <v>0</v>
      </c>
    </row>
    <row r="198" spans="1:10" x14ac:dyDescent="0.25">
      <c r="A198" t="s">
        <v>175</v>
      </c>
      <c r="B198">
        <v>96</v>
      </c>
      <c r="C198" t="s">
        <v>544</v>
      </c>
      <c r="D198">
        <v>30.91</v>
      </c>
      <c r="E198">
        <v>8</v>
      </c>
      <c r="F198">
        <v>34.18</v>
      </c>
      <c r="G198">
        <v>3.27</v>
      </c>
      <c r="H198" t="b">
        <v>1</v>
      </c>
      <c r="I198">
        <v>3.27</v>
      </c>
      <c r="J198" t="s">
        <v>197</v>
      </c>
    </row>
    <row r="199" spans="1:10" x14ac:dyDescent="0.25">
      <c r="A199" t="s">
        <v>175</v>
      </c>
      <c r="B199">
        <v>96</v>
      </c>
      <c r="C199" t="s">
        <v>239</v>
      </c>
      <c r="D199">
        <v>3.431</v>
      </c>
      <c r="E199">
        <v>9</v>
      </c>
      <c r="F199">
        <v>96</v>
      </c>
      <c r="G199">
        <v>92.569000000000003</v>
      </c>
      <c r="H199" t="b">
        <v>0</v>
      </c>
    </row>
    <row r="200" spans="1:10" x14ac:dyDescent="0.25">
      <c r="A200" t="s">
        <v>175</v>
      </c>
      <c r="B200">
        <v>96</v>
      </c>
      <c r="C200" t="s">
        <v>240</v>
      </c>
      <c r="D200">
        <v>3.431</v>
      </c>
      <c r="E200">
        <v>9</v>
      </c>
      <c r="F200">
        <v>92.569000000000003</v>
      </c>
      <c r="G200">
        <v>89.138000000000005</v>
      </c>
      <c r="H200" t="b">
        <v>0</v>
      </c>
    </row>
    <row r="201" spans="1:10" x14ac:dyDescent="0.25">
      <c r="A201" t="s">
        <v>175</v>
      </c>
      <c r="B201">
        <v>96</v>
      </c>
      <c r="C201" t="s">
        <v>241</v>
      </c>
      <c r="D201">
        <v>3.431</v>
      </c>
      <c r="E201">
        <v>9</v>
      </c>
      <c r="F201">
        <v>89.138000000000005</v>
      </c>
      <c r="G201">
        <v>85.706999999999994</v>
      </c>
      <c r="H201" t="b">
        <v>0</v>
      </c>
    </row>
    <row r="202" spans="1:10" x14ac:dyDescent="0.25">
      <c r="A202" t="s">
        <v>175</v>
      </c>
      <c r="B202">
        <v>96</v>
      </c>
      <c r="C202" t="s">
        <v>242</v>
      </c>
      <c r="D202">
        <v>3.431</v>
      </c>
      <c r="E202">
        <v>9</v>
      </c>
      <c r="F202">
        <v>85.706999999999994</v>
      </c>
      <c r="G202">
        <v>82.275999999999996</v>
      </c>
      <c r="H202" t="b">
        <v>0</v>
      </c>
    </row>
    <row r="203" spans="1:10" x14ac:dyDescent="0.25">
      <c r="A203" t="s">
        <v>175</v>
      </c>
      <c r="B203">
        <v>96</v>
      </c>
      <c r="C203" t="s">
        <v>243</v>
      </c>
      <c r="D203">
        <v>3.431</v>
      </c>
      <c r="E203">
        <v>9</v>
      </c>
      <c r="F203">
        <v>82.275999999999996</v>
      </c>
      <c r="G203">
        <v>78.844999999999999</v>
      </c>
      <c r="H203" t="b">
        <v>0</v>
      </c>
    </row>
    <row r="204" spans="1:10" x14ac:dyDescent="0.25">
      <c r="A204" t="s">
        <v>175</v>
      </c>
      <c r="B204">
        <v>96</v>
      </c>
      <c r="C204" t="s">
        <v>523</v>
      </c>
      <c r="D204">
        <v>3.431</v>
      </c>
      <c r="E204">
        <v>9</v>
      </c>
      <c r="F204">
        <v>78.844999999999999</v>
      </c>
      <c r="G204">
        <v>75.414000000000001</v>
      </c>
      <c r="H204" t="b">
        <v>0</v>
      </c>
    </row>
    <row r="205" spans="1:10" x14ac:dyDescent="0.25">
      <c r="A205" t="s">
        <v>175</v>
      </c>
      <c r="B205">
        <v>96</v>
      </c>
      <c r="C205" t="s">
        <v>317</v>
      </c>
      <c r="D205">
        <v>3.3679999999999999</v>
      </c>
      <c r="E205">
        <v>9</v>
      </c>
      <c r="F205">
        <v>75.414000000000001</v>
      </c>
      <c r="G205">
        <v>72.046000000000006</v>
      </c>
      <c r="H205" t="b">
        <v>0</v>
      </c>
    </row>
    <row r="206" spans="1:10" x14ac:dyDescent="0.25">
      <c r="A206" t="s">
        <v>175</v>
      </c>
      <c r="B206">
        <v>96</v>
      </c>
      <c r="C206" t="s">
        <v>318</v>
      </c>
      <c r="D206">
        <v>3.3679999999999999</v>
      </c>
      <c r="E206">
        <v>9</v>
      </c>
      <c r="F206">
        <v>72.046000000000006</v>
      </c>
      <c r="G206">
        <v>68.677999999999997</v>
      </c>
      <c r="H206" t="b">
        <v>0</v>
      </c>
    </row>
    <row r="207" spans="1:10" x14ac:dyDescent="0.25">
      <c r="A207" t="s">
        <v>175</v>
      </c>
      <c r="B207">
        <v>96</v>
      </c>
      <c r="C207" t="s">
        <v>319</v>
      </c>
      <c r="D207">
        <v>3.3679999999999999</v>
      </c>
      <c r="E207">
        <v>9</v>
      </c>
      <c r="F207">
        <v>68.677999999999997</v>
      </c>
      <c r="G207">
        <v>65.31</v>
      </c>
      <c r="H207" t="b">
        <v>1</v>
      </c>
      <c r="I207">
        <v>65.31</v>
      </c>
      <c r="J207" t="s">
        <v>187</v>
      </c>
    </row>
    <row r="208" spans="1:10" x14ac:dyDescent="0.25">
      <c r="A208" t="s">
        <v>176</v>
      </c>
      <c r="B208">
        <v>144</v>
      </c>
      <c r="C208" t="s">
        <v>250</v>
      </c>
      <c r="D208">
        <v>40.523000000000003</v>
      </c>
      <c r="E208">
        <v>1</v>
      </c>
      <c r="F208">
        <v>144</v>
      </c>
      <c r="G208">
        <v>103.477</v>
      </c>
      <c r="H208" t="b">
        <v>0</v>
      </c>
    </row>
    <row r="209" spans="1:10" x14ac:dyDescent="0.25">
      <c r="A209" t="s">
        <v>176</v>
      </c>
      <c r="B209">
        <v>144</v>
      </c>
      <c r="C209" t="s">
        <v>251</v>
      </c>
      <c r="D209">
        <v>40.523000000000003</v>
      </c>
      <c r="E209">
        <v>1</v>
      </c>
      <c r="F209">
        <v>103.477</v>
      </c>
      <c r="G209">
        <v>62.954000000000001</v>
      </c>
      <c r="H209" t="b">
        <v>0</v>
      </c>
    </row>
    <row r="210" spans="1:10" x14ac:dyDescent="0.25">
      <c r="A210" t="s">
        <v>176</v>
      </c>
      <c r="B210">
        <v>144</v>
      </c>
      <c r="C210" t="s">
        <v>252</v>
      </c>
      <c r="D210">
        <v>40.523000000000003</v>
      </c>
      <c r="E210">
        <v>1</v>
      </c>
      <c r="F210">
        <v>62.954000000000001</v>
      </c>
      <c r="G210">
        <v>22.431000000000001</v>
      </c>
      <c r="H210" t="b">
        <v>1</v>
      </c>
      <c r="I210">
        <v>22.431000000000001</v>
      </c>
      <c r="J210" t="s">
        <v>187</v>
      </c>
    </row>
    <row r="211" spans="1:10" x14ac:dyDescent="0.25">
      <c r="A211" t="s">
        <v>176</v>
      </c>
      <c r="B211">
        <v>144</v>
      </c>
      <c r="C211" t="s">
        <v>315</v>
      </c>
      <c r="D211">
        <v>34.357999999999997</v>
      </c>
      <c r="E211">
        <v>2</v>
      </c>
      <c r="F211">
        <v>144</v>
      </c>
      <c r="G211">
        <v>109.642</v>
      </c>
      <c r="H211" t="b">
        <v>0</v>
      </c>
    </row>
    <row r="212" spans="1:10" x14ac:dyDescent="0.25">
      <c r="A212" t="s">
        <v>176</v>
      </c>
      <c r="B212">
        <v>144</v>
      </c>
      <c r="C212" t="s">
        <v>456</v>
      </c>
      <c r="D212">
        <v>34.357999999999997</v>
      </c>
      <c r="E212">
        <v>2</v>
      </c>
      <c r="F212">
        <v>109.642</v>
      </c>
      <c r="G212">
        <v>75.284000000000006</v>
      </c>
      <c r="H212" t="b">
        <v>0</v>
      </c>
    </row>
    <row r="213" spans="1:10" x14ac:dyDescent="0.25">
      <c r="A213" t="s">
        <v>176</v>
      </c>
      <c r="B213">
        <v>144</v>
      </c>
      <c r="C213" t="s">
        <v>457</v>
      </c>
      <c r="D213">
        <v>34.357999999999997</v>
      </c>
      <c r="E213">
        <v>2</v>
      </c>
      <c r="F213">
        <v>75.284000000000006</v>
      </c>
      <c r="G213">
        <v>40.926000000000002</v>
      </c>
      <c r="H213" t="b">
        <v>0</v>
      </c>
    </row>
    <row r="214" spans="1:10" x14ac:dyDescent="0.25">
      <c r="A214" t="s">
        <v>176</v>
      </c>
      <c r="B214">
        <v>144</v>
      </c>
      <c r="C214" t="s">
        <v>458</v>
      </c>
      <c r="D214">
        <v>34.357999999999997</v>
      </c>
      <c r="E214">
        <v>2</v>
      </c>
      <c r="F214">
        <v>40.926000000000002</v>
      </c>
      <c r="G214">
        <v>6.5679999999999996</v>
      </c>
      <c r="H214" t="b">
        <v>1</v>
      </c>
      <c r="I214">
        <v>6.5679999999999996</v>
      </c>
      <c r="J214" t="s">
        <v>197</v>
      </c>
    </row>
    <row r="215" spans="1:10" x14ac:dyDescent="0.25">
      <c r="A215" t="s">
        <v>176</v>
      </c>
      <c r="B215">
        <v>144</v>
      </c>
      <c r="C215" t="s">
        <v>263</v>
      </c>
      <c r="D215">
        <v>32.296999999999997</v>
      </c>
      <c r="E215">
        <v>3</v>
      </c>
      <c r="F215">
        <v>144</v>
      </c>
      <c r="G215">
        <v>111.703</v>
      </c>
      <c r="H215" t="b">
        <v>0</v>
      </c>
    </row>
    <row r="216" spans="1:10" x14ac:dyDescent="0.25">
      <c r="A216" t="s">
        <v>176</v>
      </c>
      <c r="B216">
        <v>144</v>
      </c>
      <c r="C216" t="s">
        <v>264</v>
      </c>
      <c r="D216">
        <v>32.296999999999997</v>
      </c>
      <c r="E216">
        <v>3</v>
      </c>
      <c r="F216">
        <v>111.703</v>
      </c>
      <c r="G216">
        <v>79.406000000000006</v>
      </c>
      <c r="H216" t="b">
        <v>0</v>
      </c>
    </row>
    <row r="217" spans="1:10" x14ac:dyDescent="0.25">
      <c r="A217" t="s">
        <v>176</v>
      </c>
      <c r="B217">
        <v>144</v>
      </c>
      <c r="C217" t="s">
        <v>265</v>
      </c>
      <c r="D217">
        <v>32.296999999999997</v>
      </c>
      <c r="E217">
        <v>3</v>
      </c>
      <c r="F217">
        <v>79.406000000000006</v>
      </c>
      <c r="G217">
        <v>47.109000000000002</v>
      </c>
      <c r="H217" t="b">
        <v>0</v>
      </c>
    </row>
    <row r="218" spans="1:10" x14ac:dyDescent="0.25">
      <c r="A218" t="s">
        <v>176</v>
      </c>
      <c r="B218">
        <v>144</v>
      </c>
      <c r="C218" t="s">
        <v>408</v>
      </c>
      <c r="D218">
        <v>15.817</v>
      </c>
      <c r="E218">
        <v>3</v>
      </c>
      <c r="F218">
        <v>47.109000000000002</v>
      </c>
      <c r="G218">
        <v>31.292000000000002</v>
      </c>
      <c r="H218" t="b">
        <v>0</v>
      </c>
    </row>
    <row r="219" spans="1:10" x14ac:dyDescent="0.25">
      <c r="A219" t="s">
        <v>176</v>
      </c>
      <c r="B219">
        <v>144</v>
      </c>
      <c r="C219" t="s">
        <v>409</v>
      </c>
      <c r="D219">
        <v>15.817</v>
      </c>
      <c r="E219">
        <v>3</v>
      </c>
      <c r="F219">
        <v>31.292000000000002</v>
      </c>
      <c r="G219">
        <v>15.475</v>
      </c>
      <c r="H219" t="b">
        <v>1</v>
      </c>
      <c r="I219">
        <v>15.475</v>
      </c>
      <c r="J219" t="s">
        <v>187</v>
      </c>
    </row>
    <row r="220" spans="1:10" x14ac:dyDescent="0.25">
      <c r="A220" t="s">
        <v>176</v>
      </c>
      <c r="B220">
        <v>144</v>
      </c>
      <c r="C220" t="s">
        <v>410</v>
      </c>
      <c r="D220">
        <v>15.817</v>
      </c>
      <c r="E220">
        <v>4</v>
      </c>
      <c r="F220">
        <v>144</v>
      </c>
      <c r="G220">
        <v>128.18299999999999</v>
      </c>
      <c r="H220" t="b">
        <v>0</v>
      </c>
    </row>
    <row r="221" spans="1:10" x14ac:dyDescent="0.25">
      <c r="A221" t="s">
        <v>176</v>
      </c>
      <c r="B221">
        <v>144</v>
      </c>
      <c r="C221" t="s">
        <v>411</v>
      </c>
      <c r="D221">
        <v>15.817</v>
      </c>
      <c r="E221">
        <v>4</v>
      </c>
      <c r="F221">
        <v>128.18299999999999</v>
      </c>
      <c r="G221">
        <v>112.366</v>
      </c>
      <c r="H221" t="b">
        <v>0</v>
      </c>
    </row>
    <row r="222" spans="1:10" x14ac:dyDescent="0.25">
      <c r="A222" t="s">
        <v>176</v>
      </c>
      <c r="B222">
        <v>144</v>
      </c>
      <c r="C222" t="s">
        <v>412</v>
      </c>
      <c r="D222">
        <v>15.817</v>
      </c>
      <c r="E222">
        <v>4</v>
      </c>
      <c r="F222">
        <v>112.366</v>
      </c>
      <c r="G222">
        <v>96.549000000000007</v>
      </c>
      <c r="H222" t="b">
        <v>0</v>
      </c>
    </row>
    <row r="223" spans="1:10" x14ac:dyDescent="0.25">
      <c r="A223" t="s">
        <v>176</v>
      </c>
      <c r="B223">
        <v>144</v>
      </c>
      <c r="C223" t="s">
        <v>413</v>
      </c>
      <c r="D223">
        <v>15.817</v>
      </c>
      <c r="E223">
        <v>4</v>
      </c>
      <c r="F223">
        <v>96.549000000000007</v>
      </c>
      <c r="G223">
        <v>80.731999999999999</v>
      </c>
      <c r="H223" t="b">
        <v>0</v>
      </c>
    </row>
    <row r="224" spans="1:10" x14ac:dyDescent="0.25">
      <c r="A224" t="s">
        <v>176</v>
      </c>
      <c r="B224">
        <v>144</v>
      </c>
      <c r="C224" t="s">
        <v>220</v>
      </c>
      <c r="D224">
        <v>4.8559999999999999</v>
      </c>
      <c r="E224">
        <v>4</v>
      </c>
      <c r="F224">
        <v>80.731999999999999</v>
      </c>
      <c r="G224">
        <v>75.876000000000005</v>
      </c>
      <c r="H224" t="b">
        <v>0</v>
      </c>
    </row>
    <row r="225" spans="1:10" x14ac:dyDescent="0.25">
      <c r="A225" t="s">
        <v>176</v>
      </c>
      <c r="B225">
        <v>144</v>
      </c>
      <c r="C225" t="s">
        <v>221</v>
      </c>
      <c r="D225">
        <v>4.8559999999999999</v>
      </c>
      <c r="E225">
        <v>4</v>
      </c>
      <c r="F225">
        <v>75.876000000000005</v>
      </c>
      <c r="G225">
        <v>71.02</v>
      </c>
      <c r="H225" t="b">
        <v>0</v>
      </c>
    </row>
    <row r="226" spans="1:10" x14ac:dyDescent="0.25">
      <c r="A226" t="s">
        <v>176</v>
      </c>
      <c r="B226">
        <v>144</v>
      </c>
      <c r="C226" t="s">
        <v>222</v>
      </c>
      <c r="D226">
        <v>4.8559999999999999</v>
      </c>
      <c r="E226">
        <v>4</v>
      </c>
      <c r="F226">
        <v>71.02</v>
      </c>
      <c r="G226">
        <v>66.164000000000001</v>
      </c>
      <c r="H226" t="b">
        <v>1</v>
      </c>
      <c r="I226">
        <v>66.164000000000001</v>
      </c>
      <c r="J226" t="s">
        <v>187</v>
      </c>
    </row>
    <row r="227" spans="1:10" x14ac:dyDescent="0.25">
      <c r="A227" t="s">
        <v>177</v>
      </c>
      <c r="B227">
        <v>96</v>
      </c>
      <c r="C227" t="s">
        <v>281</v>
      </c>
      <c r="D227">
        <v>46.24</v>
      </c>
      <c r="E227">
        <v>1</v>
      </c>
      <c r="F227">
        <v>96</v>
      </c>
      <c r="G227">
        <v>49.76</v>
      </c>
      <c r="H227" t="b">
        <v>0</v>
      </c>
    </row>
    <row r="228" spans="1:10" x14ac:dyDescent="0.25">
      <c r="A228" t="s">
        <v>177</v>
      </c>
      <c r="B228">
        <v>96</v>
      </c>
      <c r="C228" t="s">
        <v>478</v>
      </c>
      <c r="D228">
        <v>46.24</v>
      </c>
      <c r="E228">
        <v>1</v>
      </c>
      <c r="F228">
        <v>49.76</v>
      </c>
      <c r="G228">
        <v>3.52</v>
      </c>
      <c r="H228" t="b">
        <v>1</v>
      </c>
      <c r="I228">
        <v>3.52</v>
      </c>
      <c r="J228" t="s">
        <v>197</v>
      </c>
    </row>
    <row r="229" spans="1:10" x14ac:dyDescent="0.25">
      <c r="A229" t="s">
        <v>177</v>
      </c>
      <c r="B229">
        <v>96</v>
      </c>
      <c r="C229" t="s">
        <v>479</v>
      </c>
      <c r="D229">
        <v>46.24</v>
      </c>
      <c r="E229">
        <v>2</v>
      </c>
      <c r="F229">
        <v>96</v>
      </c>
      <c r="G229">
        <v>49.76</v>
      </c>
      <c r="H229" t="b">
        <v>0</v>
      </c>
    </row>
    <row r="230" spans="1:10" x14ac:dyDescent="0.25">
      <c r="A230" t="s">
        <v>177</v>
      </c>
      <c r="B230">
        <v>96</v>
      </c>
      <c r="C230" t="s">
        <v>545</v>
      </c>
      <c r="D230">
        <v>46.24</v>
      </c>
      <c r="E230">
        <v>2</v>
      </c>
      <c r="F230">
        <v>49.76</v>
      </c>
      <c r="G230">
        <v>3.52</v>
      </c>
      <c r="H230" t="b">
        <v>1</v>
      </c>
      <c r="I230">
        <v>3.52</v>
      </c>
      <c r="J230" t="s">
        <v>197</v>
      </c>
    </row>
    <row r="231" spans="1:10" x14ac:dyDescent="0.25">
      <c r="A231" t="s">
        <v>177</v>
      </c>
      <c r="B231">
        <v>96</v>
      </c>
      <c r="C231" t="s">
        <v>546</v>
      </c>
      <c r="D231">
        <v>46.24</v>
      </c>
      <c r="E231">
        <v>3</v>
      </c>
      <c r="F231">
        <v>96</v>
      </c>
      <c r="G231">
        <v>49.76</v>
      </c>
      <c r="H231" t="b">
        <v>0</v>
      </c>
    </row>
    <row r="232" spans="1:10" x14ac:dyDescent="0.25">
      <c r="A232" t="s">
        <v>177</v>
      </c>
      <c r="B232">
        <v>96</v>
      </c>
      <c r="C232" t="s">
        <v>547</v>
      </c>
      <c r="D232">
        <v>46.24</v>
      </c>
      <c r="E232">
        <v>3</v>
      </c>
      <c r="F232">
        <v>49.76</v>
      </c>
      <c r="G232">
        <v>3.52</v>
      </c>
      <c r="H232" t="b">
        <v>1</v>
      </c>
      <c r="I232">
        <v>3.52</v>
      </c>
      <c r="J232" t="s">
        <v>197</v>
      </c>
    </row>
    <row r="233" spans="1:10" x14ac:dyDescent="0.25">
      <c r="A233" t="s">
        <v>177</v>
      </c>
      <c r="B233">
        <v>96</v>
      </c>
      <c r="C233" t="s">
        <v>194</v>
      </c>
      <c r="D233">
        <v>46.179000000000002</v>
      </c>
      <c r="E233">
        <v>4</v>
      </c>
      <c r="F233">
        <v>96</v>
      </c>
      <c r="G233">
        <v>49.820999999999998</v>
      </c>
      <c r="H233" t="b">
        <v>0</v>
      </c>
    </row>
    <row r="234" spans="1:10" x14ac:dyDescent="0.25">
      <c r="A234" t="s">
        <v>177</v>
      </c>
      <c r="B234">
        <v>96</v>
      </c>
      <c r="C234" t="s">
        <v>195</v>
      </c>
      <c r="D234">
        <v>46.179000000000002</v>
      </c>
      <c r="E234">
        <v>4</v>
      </c>
      <c r="F234">
        <v>49.820999999999998</v>
      </c>
      <c r="G234">
        <v>3.6419999999999999</v>
      </c>
      <c r="H234" t="b">
        <v>1</v>
      </c>
      <c r="I234">
        <v>3.6419999999999999</v>
      </c>
      <c r="J234" t="s">
        <v>197</v>
      </c>
    </row>
    <row r="235" spans="1:10" x14ac:dyDescent="0.25">
      <c r="A235" t="s">
        <v>177</v>
      </c>
      <c r="B235">
        <v>96</v>
      </c>
      <c r="C235" t="s">
        <v>196</v>
      </c>
      <c r="D235">
        <v>46.179000000000002</v>
      </c>
      <c r="E235">
        <v>5</v>
      </c>
      <c r="F235">
        <v>96</v>
      </c>
      <c r="G235">
        <v>49.820999999999998</v>
      </c>
      <c r="H235" t="b">
        <v>0</v>
      </c>
    </row>
    <row r="236" spans="1:10" x14ac:dyDescent="0.25">
      <c r="A236" t="s">
        <v>177</v>
      </c>
      <c r="B236">
        <v>96</v>
      </c>
      <c r="C236" t="s">
        <v>423</v>
      </c>
      <c r="D236">
        <v>37.521000000000001</v>
      </c>
      <c r="E236">
        <v>5</v>
      </c>
      <c r="F236">
        <v>49.820999999999998</v>
      </c>
      <c r="G236">
        <v>12.3</v>
      </c>
      <c r="H236" t="b">
        <v>1</v>
      </c>
      <c r="I236">
        <v>12.3</v>
      </c>
      <c r="J236" t="s">
        <v>187</v>
      </c>
    </row>
    <row r="237" spans="1:10" x14ac:dyDescent="0.25">
      <c r="A237" t="s">
        <v>177</v>
      </c>
      <c r="B237">
        <v>96</v>
      </c>
      <c r="C237" t="s">
        <v>424</v>
      </c>
      <c r="D237">
        <v>37.521000000000001</v>
      </c>
      <c r="E237">
        <v>6</v>
      </c>
      <c r="F237">
        <v>96</v>
      </c>
      <c r="G237">
        <v>58.478999999999999</v>
      </c>
      <c r="H237" t="b">
        <v>0</v>
      </c>
    </row>
    <row r="238" spans="1:10" x14ac:dyDescent="0.25">
      <c r="A238" t="s">
        <v>177</v>
      </c>
      <c r="B238">
        <v>96</v>
      </c>
      <c r="C238" t="s">
        <v>311</v>
      </c>
      <c r="D238">
        <v>25.738</v>
      </c>
      <c r="E238">
        <v>6</v>
      </c>
      <c r="F238">
        <v>58.478999999999999</v>
      </c>
      <c r="G238">
        <v>32.741</v>
      </c>
      <c r="H238" t="b">
        <v>0</v>
      </c>
    </row>
    <row r="239" spans="1:10" x14ac:dyDescent="0.25">
      <c r="A239" t="s">
        <v>177</v>
      </c>
      <c r="B239">
        <v>96</v>
      </c>
      <c r="C239" t="s">
        <v>312</v>
      </c>
      <c r="D239">
        <v>25.738</v>
      </c>
      <c r="E239">
        <v>6</v>
      </c>
      <c r="F239">
        <v>32.741</v>
      </c>
      <c r="G239">
        <v>7.0030000000000001</v>
      </c>
      <c r="H239" t="b">
        <v>1</v>
      </c>
      <c r="I239">
        <v>7.0030000000000001</v>
      </c>
      <c r="J239" t="s">
        <v>197</v>
      </c>
    </row>
    <row r="240" spans="1:10" x14ac:dyDescent="0.25">
      <c r="A240" t="s">
        <v>177</v>
      </c>
      <c r="B240">
        <v>96</v>
      </c>
      <c r="C240" t="s">
        <v>313</v>
      </c>
      <c r="D240">
        <v>25.738</v>
      </c>
      <c r="E240">
        <v>7</v>
      </c>
      <c r="F240">
        <v>96</v>
      </c>
      <c r="G240">
        <v>70.262</v>
      </c>
      <c r="H240" t="b">
        <v>0</v>
      </c>
    </row>
    <row r="241" spans="1:10" x14ac:dyDescent="0.25">
      <c r="A241" t="s">
        <v>177</v>
      </c>
      <c r="B241">
        <v>96</v>
      </c>
      <c r="C241" t="s">
        <v>493</v>
      </c>
      <c r="D241">
        <v>25.738</v>
      </c>
      <c r="E241">
        <v>7</v>
      </c>
      <c r="F241">
        <v>70.262</v>
      </c>
      <c r="G241">
        <v>44.524000000000001</v>
      </c>
      <c r="H241" t="b">
        <v>0</v>
      </c>
    </row>
    <row r="242" spans="1:10" x14ac:dyDescent="0.25">
      <c r="A242" t="s">
        <v>177</v>
      </c>
      <c r="B242">
        <v>96</v>
      </c>
      <c r="C242" t="s">
        <v>548</v>
      </c>
      <c r="D242">
        <v>25.738</v>
      </c>
      <c r="E242">
        <v>7</v>
      </c>
      <c r="F242">
        <v>44.524000000000001</v>
      </c>
      <c r="G242">
        <v>18.786000000000001</v>
      </c>
      <c r="H242" t="b">
        <v>1</v>
      </c>
      <c r="I242">
        <v>18.786000000000001</v>
      </c>
      <c r="J242" t="s">
        <v>187</v>
      </c>
    </row>
    <row r="243" spans="1:10" x14ac:dyDescent="0.25">
      <c r="A243" t="s">
        <v>177</v>
      </c>
      <c r="B243">
        <v>96</v>
      </c>
      <c r="C243" t="s">
        <v>549</v>
      </c>
      <c r="D243">
        <v>25.738</v>
      </c>
      <c r="E243">
        <v>8</v>
      </c>
      <c r="F243">
        <v>96</v>
      </c>
      <c r="G243">
        <v>70.262</v>
      </c>
      <c r="H243" t="b">
        <v>0</v>
      </c>
    </row>
    <row r="244" spans="1:10" x14ac:dyDescent="0.25">
      <c r="A244" t="s">
        <v>177</v>
      </c>
      <c r="B244">
        <v>96</v>
      </c>
      <c r="C244" t="s">
        <v>253</v>
      </c>
      <c r="D244">
        <v>24.315000000000001</v>
      </c>
      <c r="E244">
        <v>8</v>
      </c>
      <c r="F244">
        <v>70.262</v>
      </c>
      <c r="G244">
        <v>45.947000000000003</v>
      </c>
      <c r="H244" t="b">
        <v>0</v>
      </c>
    </row>
    <row r="245" spans="1:10" x14ac:dyDescent="0.25">
      <c r="A245" t="s">
        <v>177</v>
      </c>
      <c r="B245">
        <v>96</v>
      </c>
      <c r="C245" t="s">
        <v>254</v>
      </c>
      <c r="D245">
        <v>24.315000000000001</v>
      </c>
      <c r="E245">
        <v>8</v>
      </c>
      <c r="F245">
        <v>45.947000000000003</v>
      </c>
      <c r="G245">
        <v>21.632000000000001</v>
      </c>
      <c r="H245" t="b">
        <v>1</v>
      </c>
      <c r="I245">
        <v>21.632000000000001</v>
      </c>
      <c r="J245" t="s">
        <v>187</v>
      </c>
    </row>
    <row r="246" spans="1:10" x14ac:dyDescent="0.25">
      <c r="A246" t="s">
        <v>177</v>
      </c>
      <c r="B246">
        <v>96</v>
      </c>
      <c r="C246" t="s">
        <v>255</v>
      </c>
      <c r="D246">
        <v>24.315000000000001</v>
      </c>
      <c r="E246">
        <v>9</v>
      </c>
      <c r="F246">
        <v>96</v>
      </c>
      <c r="G246">
        <v>71.685000000000002</v>
      </c>
      <c r="H246" t="b">
        <v>0</v>
      </c>
    </row>
    <row r="247" spans="1:10" x14ac:dyDescent="0.25">
      <c r="A247" t="s">
        <v>177</v>
      </c>
      <c r="B247">
        <v>96</v>
      </c>
      <c r="C247" t="s">
        <v>256</v>
      </c>
      <c r="D247">
        <v>24.315000000000001</v>
      </c>
      <c r="E247">
        <v>9</v>
      </c>
      <c r="F247">
        <v>71.685000000000002</v>
      </c>
      <c r="G247">
        <v>47.37</v>
      </c>
      <c r="H247" t="b">
        <v>0</v>
      </c>
    </row>
    <row r="248" spans="1:10" x14ac:dyDescent="0.25">
      <c r="A248" t="s">
        <v>177</v>
      </c>
      <c r="B248">
        <v>96</v>
      </c>
      <c r="C248" t="s">
        <v>228</v>
      </c>
      <c r="D248">
        <v>8.2319999999999993</v>
      </c>
      <c r="E248">
        <v>9</v>
      </c>
      <c r="F248">
        <v>47.37</v>
      </c>
      <c r="G248">
        <v>39.137999999999998</v>
      </c>
      <c r="H248" t="b">
        <v>0</v>
      </c>
    </row>
    <row r="249" spans="1:10" x14ac:dyDescent="0.25">
      <c r="A249" t="s">
        <v>177</v>
      </c>
      <c r="B249">
        <v>96</v>
      </c>
      <c r="C249" t="s">
        <v>480</v>
      </c>
      <c r="D249">
        <v>8.2319999999999993</v>
      </c>
      <c r="E249">
        <v>9</v>
      </c>
      <c r="F249">
        <v>39.137999999999998</v>
      </c>
      <c r="G249">
        <v>30.905999999999999</v>
      </c>
      <c r="H249" t="b">
        <v>0</v>
      </c>
    </row>
    <row r="250" spans="1:10" x14ac:dyDescent="0.25">
      <c r="A250" t="s">
        <v>177</v>
      </c>
      <c r="B250">
        <v>96</v>
      </c>
      <c r="C250" t="s">
        <v>335</v>
      </c>
      <c r="D250">
        <v>2.3969999999999998</v>
      </c>
      <c r="E250">
        <v>9</v>
      </c>
      <c r="F250">
        <v>30.905999999999999</v>
      </c>
      <c r="G250">
        <v>28.509</v>
      </c>
      <c r="H250" t="b">
        <v>1</v>
      </c>
      <c r="I250">
        <v>28.509</v>
      </c>
      <c r="J250" t="s">
        <v>187</v>
      </c>
    </row>
    <row r="251" spans="1:10" x14ac:dyDescent="0.25">
      <c r="A251" t="s">
        <v>178</v>
      </c>
      <c r="B251">
        <v>144</v>
      </c>
      <c r="C251" t="s">
        <v>202</v>
      </c>
      <c r="D251">
        <v>39.31</v>
      </c>
      <c r="E251">
        <v>1</v>
      </c>
      <c r="F251">
        <v>144</v>
      </c>
      <c r="G251">
        <v>104.69</v>
      </c>
      <c r="H251" t="b">
        <v>0</v>
      </c>
    </row>
    <row r="252" spans="1:10" x14ac:dyDescent="0.25">
      <c r="A252" t="s">
        <v>178</v>
      </c>
      <c r="B252">
        <v>144</v>
      </c>
      <c r="C252" t="s">
        <v>203</v>
      </c>
      <c r="D252">
        <v>39.31</v>
      </c>
      <c r="E252">
        <v>1</v>
      </c>
      <c r="F252">
        <v>104.69</v>
      </c>
      <c r="G252">
        <v>65.38</v>
      </c>
      <c r="H252" t="b">
        <v>0</v>
      </c>
    </row>
    <row r="253" spans="1:10" x14ac:dyDescent="0.25">
      <c r="A253" t="s">
        <v>178</v>
      </c>
      <c r="B253">
        <v>144</v>
      </c>
      <c r="C253" t="s">
        <v>204</v>
      </c>
      <c r="D253">
        <v>39.31</v>
      </c>
      <c r="E253">
        <v>1</v>
      </c>
      <c r="F253">
        <v>65.38</v>
      </c>
      <c r="G253">
        <v>26.07</v>
      </c>
      <c r="H253" t="b">
        <v>1</v>
      </c>
      <c r="I253">
        <v>26.07</v>
      </c>
      <c r="J253" t="s">
        <v>187</v>
      </c>
    </row>
    <row r="254" spans="1:10" x14ac:dyDescent="0.25">
      <c r="A254" t="s">
        <v>178</v>
      </c>
      <c r="B254">
        <v>144</v>
      </c>
      <c r="C254" t="s">
        <v>205</v>
      </c>
      <c r="D254">
        <v>39.31</v>
      </c>
      <c r="E254">
        <v>2</v>
      </c>
      <c r="F254">
        <v>144</v>
      </c>
      <c r="G254">
        <v>104.69</v>
      </c>
      <c r="H254" t="b">
        <v>0</v>
      </c>
    </row>
    <row r="255" spans="1:10" x14ac:dyDescent="0.25">
      <c r="A255" t="s">
        <v>178</v>
      </c>
      <c r="B255">
        <v>144</v>
      </c>
      <c r="C255" t="s">
        <v>206</v>
      </c>
      <c r="D255">
        <v>39.31</v>
      </c>
      <c r="E255">
        <v>2</v>
      </c>
      <c r="F255">
        <v>104.69</v>
      </c>
      <c r="G255">
        <v>65.38</v>
      </c>
      <c r="H255" t="b">
        <v>0</v>
      </c>
    </row>
    <row r="256" spans="1:10" x14ac:dyDescent="0.25">
      <c r="A256" t="s">
        <v>178</v>
      </c>
      <c r="B256">
        <v>144</v>
      </c>
      <c r="C256" t="s">
        <v>521</v>
      </c>
      <c r="D256">
        <v>39.31</v>
      </c>
      <c r="E256">
        <v>2</v>
      </c>
      <c r="F256">
        <v>65.38</v>
      </c>
      <c r="G256">
        <v>26.07</v>
      </c>
      <c r="H256" t="b">
        <v>1</v>
      </c>
      <c r="I256">
        <v>26.07</v>
      </c>
      <c r="J256" t="s">
        <v>187</v>
      </c>
    </row>
    <row r="257" spans="1:10" x14ac:dyDescent="0.25">
      <c r="A257" t="s">
        <v>178</v>
      </c>
      <c r="B257">
        <v>144</v>
      </c>
      <c r="C257" t="s">
        <v>273</v>
      </c>
      <c r="D257">
        <v>30.4</v>
      </c>
      <c r="E257">
        <v>3</v>
      </c>
      <c r="F257">
        <v>144</v>
      </c>
      <c r="G257">
        <v>113.6</v>
      </c>
      <c r="H257" t="b">
        <v>0</v>
      </c>
    </row>
    <row r="258" spans="1:10" x14ac:dyDescent="0.25">
      <c r="A258" t="s">
        <v>178</v>
      </c>
      <c r="B258">
        <v>144</v>
      </c>
      <c r="C258" t="s">
        <v>396</v>
      </c>
      <c r="D258">
        <v>22.038</v>
      </c>
      <c r="E258">
        <v>3</v>
      </c>
      <c r="F258">
        <v>113.6</v>
      </c>
      <c r="G258">
        <v>91.561999999999998</v>
      </c>
      <c r="H258" t="b">
        <v>0</v>
      </c>
    </row>
    <row r="259" spans="1:10" x14ac:dyDescent="0.25">
      <c r="A259" t="s">
        <v>178</v>
      </c>
      <c r="B259">
        <v>144</v>
      </c>
      <c r="C259" t="s">
        <v>397</v>
      </c>
      <c r="D259">
        <v>22.038</v>
      </c>
      <c r="E259">
        <v>3</v>
      </c>
      <c r="F259">
        <v>91.561999999999998</v>
      </c>
      <c r="G259">
        <v>69.524000000000001</v>
      </c>
      <c r="H259" t="b">
        <v>0</v>
      </c>
    </row>
    <row r="260" spans="1:10" x14ac:dyDescent="0.25">
      <c r="A260" t="s">
        <v>178</v>
      </c>
      <c r="B260">
        <v>144</v>
      </c>
      <c r="C260" t="s">
        <v>398</v>
      </c>
      <c r="D260">
        <v>22.038</v>
      </c>
      <c r="E260">
        <v>3</v>
      </c>
      <c r="F260">
        <v>69.524000000000001</v>
      </c>
      <c r="G260">
        <v>47.485999999999997</v>
      </c>
      <c r="H260" t="b">
        <v>0</v>
      </c>
    </row>
    <row r="261" spans="1:10" x14ac:dyDescent="0.25">
      <c r="A261" t="s">
        <v>178</v>
      </c>
      <c r="B261">
        <v>144</v>
      </c>
      <c r="C261" t="s">
        <v>550</v>
      </c>
      <c r="D261">
        <v>22.038</v>
      </c>
      <c r="E261">
        <v>3</v>
      </c>
      <c r="F261">
        <v>47.485999999999997</v>
      </c>
      <c r="G261">
        <v>25.448</v>
      </c>
      <c r="H261" t="b">
        <v>0</v>
      </c>
    </row>
    <row r="262" spans="1:10" x14ac:dyDescent="0.25">
      <c r="A262" t="s">
        <v>178</v>
      </c>
      <c r="B262">
        <v>144</v>
      </c>
      <c r="C262" t="s">
        <v>551</v>
      </c>
      <c r="D262">
        <v>22.038</v>
      </c>
      <c r="E262">
        <v>3</v>
      </c>
      <c r="F262">
        <v>25.448</v>
      </c>
      <c r="G262">
        <v>3.41</v>
      </c>
      <c r="H262" t="b">
        <v>1</v>
      </c>
      <c r="I262">
        <v>3.41</v>
      </c>
      <c r="J262" t="s">
        <v>197</v>
      </c>
    </row>
    <row r="263" spans="1:10" x14ac:dyDescent="0.25">
      <c r="A263" t="s">
        <v>178</v>
      </c>
      <c r="B263">
        <v>144</v>
      </c>
      <c r="C263" t="s">
        <v>552</v>
      </c>
      <c r="D263">
        <v>22.038</v>
      </c>
      <c r="E263">
        <v>4</v>
      </c>
      <c r="F263">
        <v>144</v>
      </c>
      <c r="G263">
        <v>121.962</v>
      </c>
      <c r="H263" t="b">
        <v>0</v>
      </c>
    </row>
    <row r="264" spans="1:10" x14ac:dyDescent="0.25">
      <c r="A264" t="s">
        <v>178</v>
      </c>
      <c r="B264">
        <v>144</v>
      </c>
      <c r="C264" t="s">
        <v>340</v>
      </c>
      <c r="D264">
        <v>20.786999999999999</v>
      </c>
      <c r="E264">
        <v>4</v>
      </c>
      <c r="F264">
        <v>121.962</v>
      </c>
      <c r="G264">
        <v>101.175</v>
      </c>
      <c r="H264" t="b">
        <v>0</v>
      </c>
    </row>
    <row r="265" spans="1:10" x14ac:dyDescent="0.25">
      <c r="A265" t="s">
        <v>178</v>
      </c>
      <c r="B265">
        <v>144</v>
      </c>
      <c r="C265" t="s">
        <v>379</v>
      </c>
      <c r="D265">
        <v>9.6129999999999995</v>
      </c>
      <c r="E265">
        <v>4</v>
      </c>
      <c r="F265">
        <v>101.175</v>
      </c>
      <c r="G265">
        <v>91.561999999999998</v>
      </c>
      <c r="H265" t="b">
        <v>0</v>
      </c>
    </row>
    <row r="266" spans="1:10" x14ac:dyDescent="0.25">
      <c r="A266" t="s">
        <v>178</v>
      </c>
      <c r="B266">
        <v>144</v>
      </c>
      <c r="C266" t="s">
        <v>380</v>
      </c>
      <c r="D266">
        <v>9.6129999999999995</v>
      </c>
      <c r="E266">
        <v>4</v>
      </c>
      <c r="F266">
        <v>91.561999999999998</v>
      </c>
      <c r="G266">
        <v>81.948999999999998</v>
      </c>
      <c r="H266" t="b">
        <v>1</v>
      </c>
      <c r="I266">
        <v>81.948999999999998</v>
      </c>
      <c r="J266" t="s">
        <v>187</v>
      </c>
    </row>
    <row r="267" spans="1:10" x14ac:dyDescent="0.25">
      <c r="A267" t="s">
        <v>179</v>
      </c>
      <c r="B267">
        <v>96</v>
      </c>
      <c r="C267" t="s">
        <v>244</v>
      </c>
      <c r="D267">
        <v>45.872</v>
      </c>
      <c r="E267">
        <v>1</v>
      </c>
      <c r="F267">
        <v>96</v>
      </c>
      <c r="G267">
        <v>50.128</v>
      </c>
      <c r="H267" t="b">
        <v>0</v>
      </c>
    </row>
    <row r="268" spans="1:10" x14ac:dyDescent="0.25">
      <c r="A268" t="s">
        <v>179</v>
      </c>
      <c r="B268">
        <v>96</v>
      </c>
      <c r="C268" t="s">
        <v>245</v>
      </c>
      <c r="D268">
        <v>45.872</v>
      </c>
      <c r="E268">
        <v>1</v>
      </c>
      <c r="F268">
        <v>50.128</v>
      </c>
      <c r="G268">
        <v>4.2560000000000002</v>
      </c>
      <c r="H268" t="b">
        <v>1</v>
      </c>
      <c r="I268">
        <v>4.2560000000000002</v>
      </c>
      <c r="J268" t="s">
        <v>197</v>
      </c>
    </row>
    <row r="269" spans="1:10" x14ac:dyDescent="0.25">
      <c r="A269" t="s">
        <v>179</v>
      </c>
      <c r="B269">
        <v>96</v>
      </c>
      <c r="C269" t="s">
        <v>466</v>
      </c>
      <c r="D269">
        <v>45.872</v>
      </c>
      <c r="E269">
        <v>2</v>
      </c>
      <c r="F269">
        <v>96</v>
      </c>
      <c r="G269">
        <v>50.128</v>
      </c>
      <c r="H269" t="b">
        <v>0</v>
      </c>
    </row>
    <row r="270" spans="1:10" x14ac:dyDescent="0.25">
      <c r="A270" t="s">
        <v>179</v>
      </c>
      <c r="B270">
        <v>96</v>
      </c>
      <c r="C270" t="s">
        <v>525</v>
      </c>
      <c r="D270">
        <v>45.872</v>
      </c>
      <c r="E270">
        <v>2</v>
      </c>
      <c r="F270">
        <v>50.128</v>
      </c>
      <c r="G270">
        <v>4.2560000000000002</v>
      </c>
      <c r="H270" t="b">
        <v>1</v>
      </c>
      <c r="I270">
        <v>4.2560000000000002</v>
      </c>
      <c r="J270" t="s">
        <v>197</v>
      </c>
    </row>
    <row r="271" spans="1:10" x14ac:dyDescent="0.25">
      <c r="A271" t="s">
        <v>179</v>
      </c>
      <c r="B271">
        <v>96</v>
      </c>
      <c r="C271" t="s">
        <v>526</v>
      </c>
      <c r="D271">
        <v>45.872</v>
      </c>
      <c r="E271">
        <v>3</v>
      </c>
      <c r="F271">
        <v>96</v>
      </c>
      <c r="G271">
        <v>50.128</v>
      </c>
      <c r="H271" t="b">
        <v>0</v>
      </c>
    </row>
    <row r="272" spans="1:10" x14ac:dyDescent="0.25">
      <c r="A272" t="s">
        <v>179</v>
      </c>
      <c r="B272">
        <v>96</v>
      </c>
      <c r="C272" t="s">
        <v>527</v>
      </c>
      <c r="D272">
        <v>45.872</v>
      </c>
      <c r="E272">
        <v>3</v>
      </c>
      <c r="F272">
        <v>50.128</v>
      </c>
      <c r="G272">
        <v>4.2560000000000002</v>
      </c>
      <c r="H272" t="b">
        <v>1</v>
      </c>
      <c r="I272">
        <v>4.2560000000000002</v>
      </c>
      <c r="J272" t="s">
        <v>197</v>
      </c>
    </row>
    <row r="273" spans="1:10" x14ac:dyDescent="0.25">
      <c r="A273" t="s">
        <v>179</v>
      </c>
      <c r="B273">
        <v>96</v>
      </c>
      <c r="C273" t="s">
        <v>330</v>
      </c>
      <c r="D273">
        <v>45.23</v>
      </c>
      <c r="E273">
        <v>4</v>
      </c>
      <c r="F273">
        <v>96</v>
      </c>
      <c r="G273">
        <v>50.77</v>
      </c>
      <c r="H273" t="b">
        <v>0</v>
      </c>
    </row>
    <row r="274" spans="1:10" x14ac:dyDescent="0.25">
      <c r="A274" t="s">
        <v>179</v>
      </c>
      <c r="B274">
        <v>96</v>
      </c>
      <c r="C274" t="s">
        <v>331</v>
      </c>
      <c r="D274">
        <v>45.23</v>
      </c>
      <c r="E274">
        <v>4</v>
      </c>
      <c r="F274">
        <v>50.77</v>
      </c>
      <c r="G274">
        <v>5.54</v>
      </c>
      <c r="H274" t="b">
        <v>1</v>
      </c>
      <c r="I274">
        <v>5.54</v>
      </c>
      <c r="J274" t="s">
        <v>197</v>
      </c>
    </row>
    <row r="275" spans="1:10" x14ac:dyDescent="0.25">
      <c r="A275" t="s">
        <v>179</v>
      </c>
      <c r="B275">
        <v>96</v>
      </c>
      <c r="C275" t="s">
        <v>332</v>
      </c>
      <c r="D275">
        <v>45.23</v>
      </c>
      <c r="E275">
        <v>5</v>
      </c>
      <c r="F275">
        <v>96</v>
      </c>
      <c r="G275">
        <v>50.77</v>
      </c>
      <c r="H275" t="b">
        <v>0</v>
      </c>
    </row>
    <row r="276" spans="1:10" x14ac:dyDescent="0.25">
      <c r="A276" t="s">
        <v>179</v>
      </c>
      <c r="B276">
        <v>96</v>
      </c>
      <c r="C276" t="s">
        <v>333</v>
      </c>
      <c r="D276">
        <v>45.23</v>
      </c>
      <c r="E276">
        <v>5</v>
      </c>
      <c r="F276">
        <v>50.77</v>
      </c>
      <c r="G276">
        <v>5.54</v>
      </c>
      <c r="H276" t="b">
        <v>1</v>
      </c>
      <c r="I276">
        <v>5.54</v>
      </c>
      <c r="J276" t="s">
        <v>197</v>
      </c>
    </row>
    <row r="277" spans="1:10" x14ac:dyDescent="0.25">
      <c r="A277" t="s">
        <v>179</v>
      </c>
      <c r="B277">
        <v>96</v>
      </c>
      <c r="C277" t="s">
        <v>334</v>
      </c>
      <c r="D277">
        <v>45.23</v>
      </c>
      <c r="E277">
        <v>6</v>
      </c>
      <c r="F277">
        <v>96</v>
      </c>
      <c r="G277">
        <v>50.77</v>
      </c>
      <c r="H277" t="b">
        <v>0</v>
      </c>
    </row>
    <row r="278" spans="1:10" x14ac:dyDescent="0.25">
      <c r="A278" t="s">
        <v>179</v>
      </c>
      <c r="B278">
        <v>96</v>
      </c>
      <c r="C278" t="s">
        <v>267</v>
      </c>
      <c r="D278">
        <v>42.354999999999997</v>
      </c>
      <c r="E278">
        <v>6</v>
      </c>
      <c r="F278">
        <v>50.77</v>
      </c>
      <c r="G278">
        <v>8.4149999999999991</v>
      </c>
      <c r="H278" t="b">
        <v>1</v>
      </c>
      <c r="I278">
        <v>8.4149999999999991</v>
      </c>
      <c r="J278" t="s">
        <v>197</v>
      </c>
    </row>
    <row r="279" spans="1:10" x14ac:dyDescent="0.25">
      <c r="A279" t="s">
        <v>179</v>
      </c>
      <c r="B279">
        <v>96</v>
      </c>
      <c r="C279" t="s">
        <v>268</v>
      </c>
      <c r="D279">
        <v>42.354999999999997</v>
      </c>
      <c r="E279">
        <v>7</v>
      </c>
      <c r="F279">
        <v>96</v>
      </c>
      <c r="G279">
        <v>53.645000000000003</v>
      </c>
      <c r="H279" t="b">
        <v>0</v>
      </c>
    </row>
    <row r="280" spans="1:10" x14ac:dyDescent="0.25">
      <c r="A280" t="s">
        <v>179</v>
      </c>
      <c r="B280">
        <v>96</v>
      </c>
      <c r="C280" t="s">
        <v>269</v>
      </c>
      <c r="D280">
        <v>42.354999999999997</v>
      </c>
      <c r="E280">
        <v>7</v>
      </c>
      <c r="F280">
        <v>53.645000000000003</v>
      </c>
      <c r="G280">
        <v>11.29</v>
      </c>
      <c r="H280" t="b">
        <v>1</v>
      </c>
      <c r="I280">
        <v>11.29</v>
      </c>
      <c r="J280" t="s">
        <v>197</v>
      </c>
    </row>
    <row r="281" spans="1:10" x14ac:dyDescent="0.25">
      <c r="A281" t="s">
        <v>179</v>
      </c>
      <c r="B281">
        <v>96</v>
      </c>
      <c r="C281" t="s">
        <v>270</v>
      </c>
      <c r="D281">
        <v>42.354999999999997</v>
      </c>
      <c r="E281">
        <v>8</v>
      </c>
      <c r="F281">
        <v>96</v>
      </c>
      <c r="G281">
        <v>53.645000000000003</v>
      </c>
      <c r="H281" t="b">
        <v>0</v>
      </c>
    </row>
    <row r="282" spans="1:10" x14ac:dyDescent="0.25">
      <c r="A282" t="s">
        <v>179</v>
      </c>
      <c r="B282">
        <v>96</v>
      </c>
      <c r="C282" t="s">
        <v>266</v>
      </c>
      <c r="D282">
        <v>40.667000000000002</v>
      </c>
      <c r="E282">
        <v>8</v>
      </c>
      <c r="F282">
        <v>53.645000000000003</v>
      </c>
      <c r="G282">
        <v>12.978</v>
      </c>
      <c r="H282" t="b">
        <v>1</v>
      </c>
      <c r="I282">
        <v>12.978</v>
      </c>
      <c r="J282" t="s">
        <v>187</v>
      </c>
    </row>
    <row r="283" spans="1:10" x14ac:dyDescent="0.25">
      <c r="A283" t="s">
        <v>179</v>
      </c>
      <c r="B283">
        <v>96</v>
      </c>
      <c r="C283" t="s">
        <v>517</v>
      </c>
      <c r="D283">
        <v>40.667000000000002</v>
      </c>
      <c r="E283">
        <v>9</v>
      </c>
      <c r="F283">
        <v>96</v>
      </c>
      <c r="G283">
        <v>55.332999999999998</v>
      </c>
      <c r="H283" t="b">
        <v>0</v>
      </c>
    </row>
    <row r="284" spans="1:10" x14ac:dyDescent="0.25">
      <c r="A284" t="s">
        <v>179</v>
      </c>
      <c r="B284">
        <v>96</v>
      </c>
      <c r="C284" t="s">
        <v>518</v>
      </c>
      <c r="D284">
        <v>40.667000000000002</v>
      </c>
      <c r="E284">
        <v>9</v>
      </c>
      <c r="F284">
        <v>55.332999999999998</v>
      </c>
      <c r="G284">
        <v>14.666</v>
      </c>
      <c r="H284" t="b">
        <v>1</v>
      </c>
      <c r="I284">
        <v>14.666</v>
      </c>
      <c r="J284" t="s">
        <v>187</v>
      </c>
    </row>
    <row r="285" spans="1:10" x14ac:dyDescent="0.25">
      <c r="A285" t="s">
        <v>179</v>
      </c>
      <c r="B285">
        <v>96</v>
      </c>
      <c r="C285" t="s">
        <v>519</v>
      </c>
      <c r="D285">
        <v>40.667000000000002</v>
      </c>
      <c r="E285">
        <v>10</v>
      </c>
      <c r="F285">
        <v>96</v>
      </c>
      <c r="G285">
        <v>55.332999999999998</v>
      </c>
      <c r="H285" t="b">
        <v>0</v>
      </c>
    </row>
    <row r="286" spans="1:10" x14ac:dyDescent="0.25">
      <c r="A286" t="s">
        <v>179</v>
      </c>
      <c r="B286">
        <v>96</v>
      </c>
      <c r="C286" t="s">
        <v>520</v>
      </c>
      <c r="D286">
        <v>40.667000000000002</v>
      </c>
      <c r="E286">
        <v>10</v>
      </c>
      <c r="F286">
        <v>55.332999999999998</v>
      </c>
      <c r="G286">
        <v>14.666</v>
      </c>
      <c r="H286" t="b">
        <v>0</v>
      </c>
    </row>
    <row r="287" spans="1:10" x14ac:dyDescent="0.25">
      <c r="A287" t="s">
        <v>179</v>
      </c>
      <c r="B287">
        <v>96</v>
      </c>
      <c r="C287" t="s">
        <v>378</v>
      </c>
      <c r="D287">
        <v>7.8230000000000004</v>
      </c>
      <c r="E287">
        <v>10</v>
      </c>
      <c r="F287">
        <v>14.666</v>
      </c>
      <c r="G287">
        <v>6.843</v>
      </c>
      <c r="H287" t="b">
        <v>1</v>
      </c>
      <c r="I287">
        <v>6.843</v>
      </c>
      <c r="J287" t="s">
        <v>197</v>
      </c>
    </row>
    <row r="288" spans="1:10" x14ac:dyDescent="0.25">
      <c r="A288" t="s">
        <v>180</v>
      </c>
      <c r="B288">
        <v>144</v>
      </c>
      <c r="C288" t="s">
        <v>282</v>
      </c>
      <c r="D288">
        <v>35.024999999999999</v>
      </c>
      <c r="E288">
        <v>1</v>
      </c>
      <c r="F288">
        <v>144</v>
      </c>
      <c r="G288">
        <v>108.97499999999999</v>
      </c>
      <c r="H288" t="b">
        <v>0</v>
      </c>
    </row>
    <row r="289" spans="1:10" x14ac:dyDescent="0.25">
      <c r="A289" t="s">
        <v>180</v>
      </c>
      <c r="B289">
        <v>144</v>
      </c>
      <c r="C289" t="s">
        <v>356</v>
      </c>
      <c r="D289">
        <v>32.479999999999997</v>
      </c>
      <c r="E289">
        <v>1</v>
      </c>
      <c r="F289">
        <v>108.97499999999999</v>
      </c>
      <c r="G289">
        <v>76.495000000000005</v>
      </c>
      <c r="H289" t="b">
        <v>0</v>
      </c>
    </row>
    <row r="290" spans="1:10" x14ac:dyDescent="0.25">
      <c r="A290" t="s">
        <v>180</v>
      </c>
      <c r="B290">
        <v>144</v>
      </c>
      <c r="C290" t="s">
        <v>357</v>
      </c>
      <c r="D290">
        <v>32.479999999999997</v>
      </c>
      <c r="E290">
        <v>1</v>
      </c>
      <c r="F290">
        <v>76.495000000000005</v>
      </c>
      <c r="G290">
        <v>44.015000000000001</v>
      </c>
      <c r="H290" t="b">
        <v>0</v>
      </c>
    </row>
    <row r="291" spans="1:10" x14ac:dyDescent="0.25">
      <c r="A291" t="s">
        <v>180</v>
      </c>
      <c r="B291">
        <v>144</v>
      </c>
      <c r="C291" t="s">
        <v>358</v>
      </c>
      <c r="D291">
        <v>32.479999999999997</v>
      </c>
      <c r="E291">
        <v>1</v>
      </c>
      <c r="F291">
        <v>44.015000000000001</v>
      </c>
      <c r="G291">
        <v>11.535</v>
      </c>
      <c r="H291" t="b">
        <v>1</v>
      </c>
      <c r="I291">
        <v>11.535</v>
      </c>
      <c r="J291" t="s">
        <v>197</v>
      </c>
    </row>
    <row r="292" spans="1:10" x14ac:dyDescent="0.25">
      <c r="A292" t="s">
        <v>180</v>
      </c>
      <c r="B292">
        <v>144</v>
      </c>
      <c r="C292" t="s">
        <v>359</v>
      </c>
      <c r="D292">
        <v>32.479999999999997</v>
      </c>
      <c r="E292">
        <v>2</v>
      </c>
      <c r="F292">
        <v>144</v>
      </c>
      <c r="G292">
        <v>111.52</v>
      </c>
      <c r="H292" t="b">
        <v>0</v>
      </c>
    </row>
    <row r="293" spans="1:10" x14ac:dyDescent="0.25">
      <c r="A293" t="s">
        <v>180</v>
      </c>
      <c r="B293">
        <v>144</v>
      </c>
      <c r="C293" t="s">
        <v>360</v>
      </c>
      <c r="D293">
        <v>32.479999999999997</v>
      </c>
      <c r="E293">
        <v>2</v>
      </c>
      <c r="F293">
        <v>111.52</v>
      </c>
      <c r="G293">
        <v>79.040000000000006</v>
      </c>
      <c r="H293" t="b">
        <v>0</v>
      </c>
    </row>
    <row r="294" spans="1:10" x14ac:dyDescent="0.25">
      <c r="A294" t="s">
        <v>180</v>
      </c>
      <c r="B294">
        <v>144</v>
      </c>
      <c r="C294" t="s">
        <v>361</v>
      </c>
      <c r="D294">
        <v>32.479999999999997</v>
      </c>
      <c r="E294">
        <v>2</v>
      </c>
      <c r="F294">
        <v>79.040000000000006</v>
      </c>
      <c r="G294">
        <v>46.56</v>
      </c>
      <c r="H294" t="b">
        <v>0</v>
      </c>
    </row>
    <row r="295" spans="1:10" x14ac:dyDescent="0.25">
      <c r="A295" t="s">
        <v>180</v>
      </c>
      <c r="B295">
        <v>144</v>
      </c>
      <c r="C295" t="s">
        <v>391</v>
      </c>
      <c r="D295">
        <v>16.384</v>
      </c>
      <c r="E295">
        <v>2</v>
      </c>
      <c r="F295">
        <v>46.56</v>
      </c>
      <c r="G295">
        <v>30.175999999999998</v>
      </c>
      <c r="H295" t="b">
        <v>0</v>
      </c>
    </row>
    <row r="296" spans="1:10" x14ac:dyDescent="0.25">
      <c r="A296" t="s">
        <v>180</v>
      </c>
      <c r="B296">
        <v>144</v>
      </c>
      <c r="C296" t="s">
        <v>392</v>
      </c>
      <c r="D296">
        <v>16.384</v>
      </c>
      <c r="E296">
        <v>2</v>
      </c>
      <c r="F296">
        <v>30.175999999999998</v>
      </c>
      <c r="G296">
        <v>13.792</v>
      </c>
      <c r="H296" t="b">
        <v>1</v>
      </c>
      <c r="I296">
        <v>13.792</v>
      </c>
      <c r="J296" t="s">
        <v>187</v>
      </c>
    </row>
    <row r="297" spans="1:10" x14ac:dyDescent="0.25">
      <c r="A297" t="s">
        <v>180</v>
      </c>
      <c r="B297">
        <v>144</v>
      </c>
      <c r="C297" t="s">
        <v>393</v>
      </c>
      <c r="D297">
        <v>16.384</v>
      </c>
      <c r="E297">
        <v>3</v>
      </c>
      <c r="F297">
        <v>144</v>
      </c>
      <c r="G297">
        <v>127.616</v>
      </c>
      <c r="H297" t="b">
        <v>0</v>
      </c>
    </row>
    <row r="298" spans="1:10" x14ac:dyDescent="0.25">
      <c r="A298" t="s">
        <v>180</v>
      </c>
      <c r="B298">
        <v>144</v>
      </c>
      <c r="C298" t="s">
        <v>394</v>
      </c>
      <c r="D298">
        <v>16.384</v>
      </c>
      <c r="E298">
        <v>3</v>
      </c>
      <c r="F298">
        <v>127.616</v>
      </c>
      <c r="G298">
        <v>111.232</v>
      </c>
      <c r="H298" t="b">
        <v>0</v>
      </c>
    </row>
    <row r="299" spans="1:10" x14ac:dyDescent="0.25">
      <c r="A299" t="s">
        <v>180</v>
      </c>
      <c r="B299">
        <v>144</v>
      </c>
      <c r="C299" t="s">
        <v>395</v>
      </c>
      <c r="D299">
        <v>16.384</v>
      </c>
      <c r="E299">
        <v>3</v>
      </c>
      <c r="F299">
        <v>111.232</v>
      </c>
      <c r="G299">
        <v>94.847999999999999</v>
      </c>
      <c r="H299" t="b">
        <v>0</v>
      </c>
    </row>
    <row r="300" spans="1:10" x14ac:dyDescent="0.25">
      <c r="A300" t="s">
        <v>180</v>
      </c>
      <c r="B300">
        <v>144</v>
      </c>
      <c r="C300" t="s">
        <v>553</v>
      </c>
      <c r="D300">
        <v>16.384</v>
      </c>
      <c r="E300">
        <v>3</v>
      </c>
      <c r="F300">
        <v>94.847999999999999</v>
      </c>
      <c r="G300">
        <v>78.463999999999999</v>
      </c>
      <c r="H300" t="b">
        <v>0</v>
      </c>
    </row>
    <row r="301" spans="1:10" x14ac:dyDescent="0.25">
      <c r="A301" t="s">
        <v>180</v>
      </c>
      <c r="B301">
        <v>144</v>
      </c>
      <c r="C301" t="s">
        <v>291</v>
      </c>
      <c r="D301">
        <v>14.159000000000001</v>
      </c>
      <c r="E301">
        <v>3</v>
      </c>
      <c r="F301">
        <v>78.463999999999999</v>
      </c>
      <c r="G301">
        <v>64.305000000000007</v>
      </c>
      <c r="H301" t="b">
        <v>0</v>
      </c>
    </row>
    <row r="302" spans="1:10" x14ac:dyDescent="0.25">
      <c r="A302" t="s">
        <v>180</v>
      </c>
      <c r="B302">
        <v>144</v>
      </c>
      <c r="C302" t="s">
        <v>292</v>
      </c>
      <c r="D302">
        <v>14.159000000000001</v>
      </c>
      <c r="E302">
        <v>3</v>
      </c>
      <c r="F302">
        <v>64.305000000000007</v>
      </c>
      <c r="G302">
        <v>50.146000000000001</v>
      </c>
      <c r="H302" t="b">
        <v>0</v>
      </c>
    </row>
    <row r="303" spans="1:10" x14ac:dyDescent="0.25">
      <c r="A303" t="s">
        <v>180</v>
      </c>
      <c r="B303">
        <v>144</v>
      </c>
      <c r="C303" t="s">
        <v>293</v>
      </c>
      <c r="D303">
        <v>14.159000000000001</v>
      </c>
      <c r="E303">
        <v>3</v>
      </c>
      <c r="F303">
        <v>50.146000000000001</v>
      </c>
      <c r="G303">
        <v>35.987000000000002</v>
      </c>
      <c r="H303" t="b">
        <v>0</v>
      </c>
    </row>
    <row r="304" spans="1:10" x14ac:dyDescent="0.25">
      <c r="A304" t="s">
        <v>180</v>
      </c>
      <c r="B304">
        <v>144</v>
      </c>
      <c r="C304" t="s">
        <v>425</v>
      </c>
      <c r="D304">
        <v>12.945</v>
      </c>
      <c r="E304">
        <v>3</v>
      </c>
      <c r="F304">
        <v>35.987000000000002</v>
      </c>
      <c r="G304">
        <v>23.042000000000002</v>
      </c>
      <c r="H304" t="b">
        <v>0</v>
      </c>
    </row>
    <row r="305" spans="1:10" x14ac:dyDescent="0.25">
      <c r="A305" t="s">
        <v>180</v>
      </c>
      <c r="B305">
        <v>144</v>
      </c>
      <c r="C305" t="s">
        <v>426</v>
      </c>
      <c r="D305">
        <v>12.945</v>
      </c>
      <c r="E305">
        <v>3</v>
      </c>
      <c r="F305">
        <v>23.042000000000002</v>
      </c>
      <c r="G305">
        <v>10.097</v>
      </c>
      <c r="H305" t="b">
        <v>1</v>
      </c>
      <c r="I305">
        <v>10.097</v>
      </c>
      <c r="J305" t="s">
        <v>197</v>
      </c>
    </row>
    <row r="306" spans="1:10" x14ac:dyDescent="0.25">
      <c r="A306" t="s">
        <v>180</v>
      </c>
      <c r="B306">
        <v>144</v>
      </c>
      <c r="C306" t="s">
        <v>427</v>
      </c>
      <c r="D306">
        <v>12.945</v>
      </c>
      <c r="E306">
        <v>4</v>
      </c>
      <c r="F306">
        <v>144</v>
      </c>
      <c r="G306">
        <v>131.05500000000001</v>
      </c>
      <c r="H306" t="b">
        <v>0</v>
      </c>
    </row>
    <row r="307" spans="1:10" x14ac:dyDescent="0.25">
      <c r="A307" t="s">
        <v>180</v>
      </c>
      <c r="B307">
        <v>144</v>
      </c>
      <c r="C307" t="s">
        <v>324</v>
      </c>
      <c r="D307">
        <v>5.5620000000000003</v>
      </c>
      <c r="E307">
        <v>4</v>
      </c>
      <c r="F307">
        <v>131.05500000000001</v>
      </c>
      <c r="G307">
        <v>125.49299999999999</v>
      </c>
      <c r="H307" t="b">
        <v>0</v>
      </c>
    </row>
    <row r="308" spans="1:10" x14ac:dyDescent="0.25">
      <c r="A308" t="s">
        <v>180</v>
      </c>
      <c r="B308">
        <v>144</v>
      </c>
      <c r="C308" t="s">
        <v>325</v>
      </c>
      <c r="D308">
        <v>5.5620000000000003</v>
      </c>
      <c r="E308">
        <v>4</v>
      </c>
      <c r="F308">
        <v>125.49299999999999</v>
      </c>
      <c r="G308">
        <v>119.931</v>
      </c>
      <c r="H308" t="b">
        <v>0</v>
      </c>
    </row>
    <row r="309" spans="1:10" x14ac:dyDescent="0.25">
      <c r="A309" t="s">
        <v>180</v>
      </c>
      <c r="B309">
        <v>144</v>
      </c>
      <c r="C309" t="s">
        <v>326</v>
      </c>
      <c r="D309">
        <v>5.5620000000000003</v>
      </c>
      <c r="E309">
        <v>4</v>
      </c>
      <c r="F309">
        <v>119.931</v>
      </c>
      <c r="G309">
        <v>114.369</v>
      </c>
      <c r="H309" t="b">
        <v>0</v>
      </c>
    </row>
    <row r="310" spans="1:10" x14ac:dyDescent="0.25">
      <c r="A310" t="s">
        <v>180</v>
      </c>
      <c r="B310">
        <v>144</v>
      </c>
      <c r="C310" t="s">
        <v>327</v>
      </c>
      <c r="D310">
        <v>5.5620000000000003</v>
      </c>
      <c r="E310">
        <v>4</v>
      </c>
      <c r="F310">
        <v>114.369</v>
      </c>
      <c r="G310">
        <v>108.807</v>
      </c>
      <c r="H310" t="b">
        <v>0</v>
      </c>
    </row>
    <row r="311" spans="1:10" x14ac:dyDescent="0.25">
      <c r="A311" t="s">
        <v>180</v>
      </c>
      <c r="B311">
        <v>144</v>
      </c>
      <c r="C311" t="s">
        <v>328</v>
      </c>
      <c r="D311">
        <v>5.5620000000000003</v>
      </c>
      <c r="E311">
        <v>4</v>
      </c>
      <c r="F311">
        <v>108.807</v>
      </c>
      <c r="G311">
        <v>103.245</v>
      </c>
      <c r="H311" t="b">
        <v>0</v>
      </c>
    </row>
    <row r="312" spans="1:10" x14ac:dyDescent="0.25">
      <c r="A312" t="s">
        <v>180</v>
      </c>
      <c r="B312">
        <v>144</v>
      </c>
      <c r="C312" t="s">
        <v>554</v>
      </c>
      <c r="D312">
        <v>5.5620000000000003</v>
      </c>
      <c r="E312">
        <v>4</v>
      </c>
      <c r="F312">
        <v>103.245</v>
      </c>
      <c r="G312">
        <v>97.683000000000007</v>
      </c>
      <c r="H312" t="b">
        <v>1</v>
      </c>
      <c r="I312">
        <v>97.683000000000007</v>
      </c>
      <c r="J312" t="s">
        <v>187</v>
      </c>
    </row>
    <row r="313" spans="1:10" x14ac:dyDescent="0.25">
      <c r="A313" t="s">
        <v>181</v>
      </c>
      <c r="B313">
        <v>96</v>
      </c>
      <c r="C313" t="s">
        <v>316</v>
      </c>
      <c r="D313">
        <v>46.524999999999999</v>
      </c>
      <c r="E313">
        <v>1</v>
      </c>
      <c r="F313">
        <v>96</v>
      </c>
      <c r="G313">
        <v>49.475000000000001</v>
      </c>
      <c r="H313" t="b">
        <v>0</v>
      </c>
    </row>
    <row r="314" spans="1:10" x14ac:dyDescent="0.25">
      <c r="A314" t="s">
        <v>181</v>
      </c>
      <c r="B314">
        <v>96</v>
      </c>
      <c r="C314" t="s">
        <v>492</v>
      </c>
      <c r="D314">
        <v>46.524999999999999</v>
      </c>
      <c r="E314">
        <v>1</v>
      </c>
      <c r="F314">
        <v>49.475000000000001</v>
      </c>
      <c r="G314">
        <v>2.95</v>
      </c>
      <c r="H314" t="b">
        <v>1</v>
      </c>
      <c r="I314">
        <v>2.95</v>
      </c>
      <c r="J314" t="s">
        <v>197</v>
      </c>
    </row>
    <row r="315" spans="1:10" x14ac:dyDescent="0.25">
      <c r="A315" t="s">
        <v>181</v>
      </c>
      <c r="B315">
        <v>96</v>
      </c>
      <c r="C315" t="s">
        <v>353</v>
      </c>
      <c r="D315">
        <v>31.733000000000001</v>
      </c>
      <c r="E315">
        <v>2</v>
      </c>
      <c r="F315">
        <v>96</v>
      </c>
      <c r="G315">
        <v>64.266999999999996</v>
      </c>
      <c r="H315" t="b">
        <v>0</v>
      </c>
    </row>
    <row r="316" spans="1:10" x14ac:dyDescent="0.25">
      <c r="A316" t="s">
        <v>181</v>
      </c>
      <c r="B316">
        <v>96</v>
      </c>
      <c r="C316" t="s">
        <v>189</v>
      </c>
      <c r="D316">
        <v>30.132000000000001</v>
      </c>
      <c r="E316">
        <v>2</v>
      </c>
      <c r="F316">
        <v>64.266999999999996</v>
      </c>
      <c r="G316">
        <v>34.134999999999998</v>
      </c>
      <c r="H316" t="b">
        <v>0</v>
      </c>
    </row>
    <row r="317" spans="1:10" x14ac:dyDescent="0.25">
      <c r="A317" t="s">
        <v>181</v>
      </c>
      <c r="B317">
        <v>96</v>
      </c>
      <c r="C317" t="s">
        <v>190</v>
      </c>
      <c r="D317">
        <v>30.132000000000001</v>
      </c>
      <c r="E317">
        <v>2</v>
      </c>
      <c r="F317">
        <v>34.134999999999998</v>
      </c>
      <c r="G317">
        <v>4.0030000000000001</v>
      </c>
      <c r="H317" t="b">
        <v>1</v>
      </c>
      <c r="I317">
        <v>4.0030000000000001</v>
      </c>
      <c r="J317" t="s">
        <v>197</v>
      </c>
    </row>
    <row r="318" spans="1:10" x14ac:dyDescent="0.25">
      <c r="A318" t="s">
        <v>181</v>
      </c>
      <c r="B318">
        <v>96</v>
      </c>
      <c r="C318" t="s">
        <v>191</v>
      </c>
      <c r="D318">
        <v>30.132000000000001</v>
      </c>
      <c r="E318">
        <v>3</v>
      </c>
      <c r="F318">
        <v>96</v>
      </c>
      <c r="G318">
        <v>65.867999999999995</v>
      </c>
      <c r="H318" t="b">
        <v>0</v>
      </c>
    </row>
    <row r="319" spans="1:10" x14ac:dyDescent="0.25">
      <c r="A319" t="s">
        <v>181</v>
      </c>
      <c r="B319">
        <v>96</v>
      </c>
      <c r="C319" t="s">
        <v>192</v>
      </c>
      <c r="D319">
        <v>30.132000000000001</v>
      </c>
      <c r="E319">
        <v>3</v>
      </c>
      <c r="F319">
        <v>65.867999999999995</v>
      </c>
      <c r="G319">
        <v>35.735999999999997</v>
      </c>
      <c r="H319" t="b">
        <v>0</v>
      </c>
    </row>
    <row r="320" spans="1:10" x14ac:dyDescent="0.25">
      <c r="A320" t="s">
        <v>181</v>
      </c>
      <c r="B320">
        <v>96</v>
      </c>
      <c r="C320" t="s">
        <v>416</v>
      </c>
      <c r="D320">
        <v>22.56</v>
      </c>
      <c r="E320">
        <v>3</v>
      </c>
      <c r="F320">
        <v>35.735999999999997</v>
      </c>
      <c r="G320">
        <v>13.176</v>
      </c>
      <c r="H320" t="b">
        <v>0</v>
      </c>
    </row>
    <row r="321" spans="1:10" x14ac:dyDescent="0.25">
      <c r="A321" t="s">
        <v>181</v>
      </c>
      <c r="B321">
        <v>96</v>
      </c>
      <c r="C321" t="s">
        <v>428</v>
      </c>
      <c r="D321">
        <v>12.167999999999999</v>
      </c>
      <c r="E321">
        <v>3</v>
      </c>
      <c r="F321">
        <v>13.176</v>
      </c>
      <c r="G321">
        <v>1.008</v>
      </c>
      <c r="H321" t="b">
        <v>1</v>
      </c>
      <c r="I321">
        <v>1.008</v>
      </c>
      <c r="J321" t="s">
        <v>197</v>
      </c>
    </row>
    <row r="322" spans="1:10" x14ac:dyDescent="0.25">
      <c r="A322" t="s">
        <v>181</v>
      </c>
      <c r="B322">
        <v>96</v>
      </c>
      <c r="C322" t="s">
        <v>429</v>
      </c>
      <c r="D322">
        <v>12.167999999999999</v>
      </c>
      <c r="E322">
        <v>4</v>
      </c>
      <c r="F322">
        <v>96</v>
      </c>
      <c r="G322">
        <v>83.831999999999994</v>
      </c>
      <c r="H322" t="b">
        <v>0</v>
      </c>
    </row>
    <row r="323" spans="1:10" x14ac:dyDescent="0.25">
      <c r="A323" t="s">
        <v>181</v>
      </c>
      <c r="B323">
        <v>96</v>
      </c>
      <c r="C323" t="s">
        <v>227</v>
      </c>
      <c r="D323">
        <v>6.6890000000000001</v>
      </c>
      <c r="E323">
        <v>4</v>
      </c>
      <c r="F323">
        <v>83.831999999999994</v>
      </c>
      <c r="G323">
        <v>77.143000000000001</v>
      </c>
      <c r="H323" t="b">
        <v>0</v>
      </c>
    </row>
    <row r="324" spans="1:10" x14ac:dyDescent="0.25">
      <c r="A324" t="s">
        <v>181</v>
      </c>
      <c r="B324">
        <v>96</v>
      </c>
      <c r="C324" t="s">
        <v>443</v>
      </c>
      <c r="D324">
        <v>4.1059999999999999</v>
      </c>
      <c r="E324">
        <v>4</v>
      </c>
      <c r="F324">
        <v>77.143000000000001</v>
      </c>
      <c r="G324">
        <v>73.037000000000006</v>
      </c>
      <c r="H324" t="b">
        <v>0</v>
      </c>
    </row>
    <row r="325" spans="1:10" x14ac:dyDescent="0.25">
      <c r="A325" t="s">
        <v>181</v>
      </c>
      <c r="B325">
        <v>96</v>
      </c>
      <c r="C325" t="s">
        <v>444</v>
      </c>
      <c r="D325">
        <v>4.1059999999999999</v>
      </c>
      <c r="E325">
        <v>4</v>
      </c>
      <c r="F325">
        <v>73.037000000000006</v>
      </c>
      <c r="G325">
        <v>68.930999999999997</v>
      </c>
      <c r="H325" t="b">
        <v>0</v>
      </c>
    </row>
    <row r="326" spans="1:10" x14ac:dyDescent="0.25">
      <c r="A326" t="s">
        <v>181</v>
      </c>
      <c r="B326">
        <v>96</v>
      </c>
      <c r="C326" t="s">
        <v>445</v>
      </c>
      <c r="D326">
        <v>4.1059999999999999</v>
      </c>
      <c r="E326">
        <v>4</v>
      </c>
      <c r="F326">
        <v>68.930999999999997</v>
      </c>
      <c r="G326">
        <v>64.825000000000003</v>
      </c>
      <c r="H326" t="b">
        <v>0</v>
      </c>
    </row>
    <row r="327" spans="1:10" x14ac:dyDescent="0.25">
      <c r="A327" t="s">
        <v>181</v>
      </c>
      <c r="B327">
        <v>96</v>
      </c>
      <c r="C327" t="s">
        <v>446</v>
      </c>
      <c r="D327">
        <v>4.1059999999999999</v>
      </c>
      <c r="E327">
        <v>4</v>
      </c>
      <c r="F327">
        <v>64.825000000000003</v>
      </c>
      <c r="G327">
        <v>60.719000000000001</v>
      </c>
      <c r="H327" t="b">
        <v>0</v>
      </c>
    </row>
    <row r="328" spans="1:10" x14ac:dyDescent="0.25">
      <c r="A328" t="s">
        <v>181</v>
      </c>
      <c r="B328">
        <v>96</v>
      </c>
      <c r="C328" t="s">
        <v>447</v>
      </c>
      <c r="D328">
        <v>4.1059999999999999</v>
      </c>
      <c r="E328">
        <v>4</v>
      </c>
      <c r="F328">
        <v>60.719000000000001</v>
      </c>
      <c r="G328">
        <v>56.613</v>
      </c>
      <c r="H328" t="b">
        <v>1</v>
      </c>
      <c r="I328">
        <v>56.613</v>
      </c>
      <c r="J328" t="s">
        <v>187</v>
      </c>
    </row>
    <row r="329" spans="1:10" x14ac:dyDescent="0.25">
      <c r="A329" t="s">
        <v>182</v>
      </c>
      <c r="B329">
        <v>144</v>
      </c>
      <c r="C329" t="s">
        <v>298</v>
      </c>
      <c r="D329">
        <v>39.506</v>
      </c>
      <c r="E329">
        <v>1</v>
      </c>
      <c r="F329">
        <v>144</v>
      </c>
      <c r="G329">
        <v>104.494</v>
      </c>
      <c r="H329" t="b">
        <v>0</v>
      </c>
    </row>
    <row r="330" spans="1:10" x14ac:dyDescent="0.25">
      <c r="A330" t="s">
        <v>182</v>
      </c>
      <c r="B330">
        <v>144</v>
      </c>
      <c r="C330" t="s">
        <v>459</v>
      </c>
      <c r="D330">
        <v>39.506</v>
      </c>
      <c r="E330">
        <v>1</v>
      </c>
      <c r="F330">
        <v>104.494</v>
      </c>
      <c r="G330">
        <v>64.988</v>
      </c>
      <c r="H330" t="b">
        <v>0</v>
      </c>
    </row>
    <row r="331" spans="1:10" x14ac:dyDescent="0.25">
      <c r="A331" t="s">
        <v>182</v>
      </c>
      <c r="B331">
        <v>144</v>
      </c>
      <c r="C331" t="s">
        <v>460</v>
      </c>
      <c r="D331">
        <v>39.506</v>
      </c>
      <c r="E331">
        <v>1</v>
      </c>
      <c r="F331">
        <v>64.988</v>
      </c>
      <c r="G331">
        <v>25.481999999999999</v>
      </c>
      <c r="H331" t="b">
        <v>1</v>
      </c>
      <c r="I331">
        <v>25.481999999999999</v>
      </c>
      <c r="J331" t="s">
        <v>187</v>
      </c>
    </row>
    <row r="332" spans="1:10" x14ac:dyDescent="0.25">
      <c r="A332" t="s">
        <v>182</v>
      </c>
      <c r="B332">
        <v>144</v>
      </c>
      <c r="C332" t="s">
        <v>201</v>
      </c>
      <c r="D332">
        <v>26.419</v>
      </c>
      <c r="E332">
        <v>2</v>
      </c>
      <c r="F332">
        <v>144</v>
      </c>
      <c r="G332">
        <v>117.581</v>
      </c>
      <c r="H332" t="b">
        <v>0</v>
      </c>
    </row>
    <row r="333" spans="1:10" x14ac:dyDescent="0.25">
      <c r="A333" t="s">
        <v>182</v>
      </c>
      <c r="B333">
        <v>144</v>
      </c>
      <c r="C333" t="s">
        <v>280</v>
      </c>
      <c r="D333">
        <v>17.984999999999999</v>
      </c>
      <c r="E333">
        <v>2</v>
      </c>
      <c r="F333">
        <v>117.581</v>
      </c>
      <c r="G333">
        <v>99.596000000000004</v>
      </c>
      <c r="H333" t="b">
        <v>0</v>
      </c>
    </row>
    <row r="334" spans="1:10" x14ac:dyDescent="0.25">
      <c r="A334" t="s">
        <v>182</v>
      </c>
      <c r="B334">
        <v>144</v>
      </c>
      <c r="C334" t="s">
        <v>494</v>
      </c>
      <c r="D334">
        <v>17.984999999999999</v>
      </c>
      <c r="E334">
        <v>2</v>
      </c>
      <c r="F334">
        <v>99.596000000000004</v>
      </c>
      <c r="G334">
        <v>81.611000000000004</v>
      </c>
      <c r="H334" t="b">
        <v>0</v>
      </c>
    </row>
    <row r="335" spans="1:10" x14ac:dyDescent="0.25">
      <c r="A335" t="s">
        <v>182</v>
      </c>
      <c r="B335">
        <v>144</v>
      </c>
      <c r="C335" t="s">
        <v>495</v>
      </c>
      <c r="D335">
        <v>17.984999999999999</v>
      </c>
      <c r="E335">
        <v>2</v>
      </c>
      <c r="F335">
        <v>81.611000000000004</v>
      </c>
      <c r="G335">
        <v>63.625999999999998</v>
      </c>
      <c r="H335" t="b">
        <v>0</v>
      </c>
    </row>
    <row r="336" spans="1:10" x14ac:dyDescent="0.25">
      <c r="A336" t="s">
        <v>182</v>
      </c>
      <c r="B336">
        <v>144</v>
      </c>
      <c r="C336" t="s">
        <v>496</v>
      </c>
      <c r="D336">
        <v>17.984999999999999</v>
      </c>
      <c r="E336">
        <v>2</v>
      </c>
      <c r="F336">
        <v>63.625999999999998</v>
      </c>
      <c r="G336">
        <v>45.640999999999998</v>
      </c>
      <c r="H336" t="b">
        <v>0</v>
      </c>
    </row>
    <row r="337" spans="1:10" x14ac:dyDescent="0.25">
      <c r="A337" t="s">
        <v>182</v>
      </c>
      <c r="B337">
        <v>144</v>
      </c>
      <c r="C337" t="s">
        <v>497</v>
      </c>
      <c r="D337">
        <v>17.984999999999999</v>
      </c>
      <c r="E337">
        <v>2</v>
      </c>
      <c r="F337">
        <v>45.640999999999998</v>
      </c>
      <c r="G337">
        <v>27.655999999999999</v>
      </c>
      <c r="H337" t="b">
        <v>0</v>
      </c>
    </row>
    <row r="338" spans="1:10" x14ac:dyDescent="0.25">
      <c r="A338" t="s">
        <v>182</v>
      </c>
      <c r="B338">
        <v>144</v>
      </c>
      <c r="C338" t="s">
        <v>294</v>
      </c>
      <c r="D338">
        <v>16.937000000000001</v>
      </c>
      <c r="E338">
        <v>2</v>
      </c>
      <c r="F338">
        <v>27.655999999999999</v>
      </c>
      <c r="G338">
        <v>10.718999999999999</v>
      </c>
      <c r="H338" t="b">
        <v>0</v>
      </c>
    </row>
    <row r="339" spans="1:10" x14ac:dyDescent="0.25">
      <c r="A339" t="s">
        <v>182</v>
      </c>
      <c r="B339">
        <v>144</v>
      </c>
      <c r="C339" t="s">
        <v>375</v>
      </c>
      <c r="D339">
        <v>9.9849999999999994</v>
      </c>
      <c r="E339">
        <v>2</v>
      </c>
      <c r="F339">
        <v>10.718999999999999</v>
      </c>
      <c r="G339">
        <v>0.73399999999999999</v>
      </c>
      <c r="H339" t="b">
        <v>1</v>
      </c>
      <c r="I339">
        <v>0.73399999999999999</v>
      </c>
      <c r="J339" t="s">
        <v>197</v>
      </c>
    </row>
    <row r="340" spans="1:10" x14ac:dyDescent="0.25">
      <c r="A340" t="s">
        <v>182</v>
      </c>
      <c r="B340">
        <v>144</v>
      </c>
      <c r="C340" t="s">
        <v>376</v>
      </c>
      <c r="D340">
        <v>9.9849999999999994</v>
      </c>
      <c r="E340">
        <v>3</v>
      </c>
      <c r="F340">
        <v>144</v>
      </c>
      <c r="G340">
        <v>134.01499999999999</v>
      </c>
      <c r="H340" t="b">
        <v>0</v>
      </c>
    </row>
    <row r="341" spans="1:10" x14ac:dyDescent="0.25">
      <c r="A341" t="s">
        <v>182</v>
      </c>
      <c r="B341">
        <v>144</v>
      </c>
      <c r="C341" t="s">
        <v>377</v>
      </c>
      <c r="D341">
        <v>9.9849999999999994</v>
      </c>
      <c r="E341">
        <v>3</v>
      </c>
      <c r="F341">
        <v>134.01499999999999</v>
      </c>
      <c r="G341">
        <v>124.03</v>
      </c>
      <c r="H341" t="b">
        <v>0</v>
      </c>
    </row>
    <row r="342" spans="1:10" x14ac:dyDescent="0.25">
      <c r="A342" t="s">
        <v>182</v>
      </c>
      <c r="B342">
        <v>144</v>
      </c>
      <c r="C342" t="s">
        <v>528</v>
      </c>
      <c r="D342">
        <v>9.9849999999999994</v>
      </c>
      <c r="E342">
        <v>3</v>
      </c>
      <c r="F342">
        <v>124.03</v>
      </c>
      <c r="G342">
        <v>114.045</v>
      </c>
      <c r="H342" t="b">
        <v>0</v>
      </c>
    </row>
    <row r="343" spans="1:10" x14ac:dyDescent="0.25">
      <c r="A343" t="s">
        <v>182</v>
      </c>
      <c r="B343">
        <v>144</v>
      </c>
      <c r="C343" t="s">
        <v>555</v>
      </c>
      <c r="D343">
        <v>9.9849999999999994</v>
      </c>
      <c r="E343">
        <v>3</v>
      </c>
      <c r="F343">
        <v>114.045</v>
      </c>
      <c r="G343">
        <v>104.06</v>
      </c>
      <c r="H343" t="b">
        <v>1</v>
      </c>
      <c r="I343">
        <v>104.06</v>
      </c>
      <c r="J343" t="s">
        <v>187</v>
      </c>
    </row>
    <row r="344" spans="1:10" x14ac:dyDescent="0.25">
      <c r="A344" t="s">
        <v>183</v>
      </c>
      <c r="B344">
        <v>96</v>
      </c>
      <c r="C344" t="s">
        <v>272</v>
      </c>
      <c r="D344">
        <v>43.668999999999997</v>
      </c>
      <c r="E344">
        <v>1</v>
      </c>
      <c r="F344">
        <v>96</v>
      </c>
      <c r="G344">
        <v>52.331000000000003</v>
      </c>
      <c r="H344" t="b">
        <v>0</v>
      </c>
    </row>
    <row r="345" spans="1:10" x14ac:dyDescent="0.25">
      <c r="A345" t="s">
        <v>183</v>
      </c>
      <c r="B345">
        <v>96</v>
      </c>
      <c r="C345" t="s">
        <v>501</v>
      </c>
      <c r="D345">
        <v>43.668999999999997</v>
      </c>
      <c r="E345">
        <v>1</v>
      </c>
      <c r="F345">
        <v>52.331000000000003</v>
      </c>
      <c r="G345">
        <v>8.6620000000000008</v>
      </c>
      <c r="H345" t="b">
        <v>1</v>
      </c>
      <c r="I345">
        <v>8.6620000000000008</v>
      </c>
      <c r="J345" t="s">
        <v>197</v>
      </c>
    </row>
    <row r="346" spans="1:10" x14ac:dyDescent="0.25">
      <c r="A346" t="s">
        <v>183</v>
      </c>
      <c r="B346">
        <v>96</v>
      </c>
      <c r="C346" t="s">
        <v>502</v>
      </c>
      <c r="D346">
        <v>43.668999999999997</v>
      </c>
      <c r="E346">
        <v>2</v>
      </c>
      <c r="F346">
        <v>96</v>
      </c>
      <c r="G346">
        <v>52.331000000000003</v>
      </c>
      <c r="H346" t="b">
        <v>0</v>
      </c>
    </row>
    <row r="347" spans="1:10" x14ac:dyDescent="0.25">
      <c r="A347" t="s">
        <v>183</v>
      </c>
      <c r="B347">
        <v>96</v>
      </c>
      <c r="C347" t="s">
        <v>509</v>
      </c>
      <c r="D347">
        <v>43.668999999999997</v>
      </c>
      <c r="E347">
        <v>2</v>
      </c>
      <c r="F347">
        <v>52.331000000000003</v>
      </c>
      <c r="G347">
        <v>8.6620000000000008</v>
      </c>
      <c r="H347" t="b">
        <v>1</v>
      </c>
      <c r="I347">
        <v>8.6620000000000008</v>
      </c>
      <c r="J347" t="s">
        <v>197</v>
      </c>
    </row>
    <row r="348" spans="1:10" x14ac:dyDescent="0.25">
      <c r="A348" t="s">
        <v>183</v>
      </c>
      <c r="B348">
        <v>96</v>
      </c>
      <c r="C348" t="s">
        <v>329</v>
      </c>
      <c r="D348">
        <v>43.545000000000002</v>
      </c>
      <c r="E348">
        <v>3</v>
      </c>
      <c r="F348">
        <v>96</v>
      </c>
      <c r="G348">
        <v>52.454999999999998</v>
      </c>
      <c r="H348" t="b">
        <v>0</v>
      </c>
    </row>
    <row r="349" spans="1:10" x14ac:dyDescent="0.25">
      <c r="A349" t="s">
        <v>183</v>
      </c>
      <c r="B349">
        <v>96</v>
      </c>
      <c r="C349" t="s">
        <v>489</v>
      </c>
      <c r="D349">
        <v>43.545000000000002</v>
      </c>
      <c r="E349">
        <v>3</v>
      </c>
      <c r="F349">
        <v>52.454999999999998</v>
      </c>
      <c r="G349">
        <v>8.91</v>
      </c>
      <c r="H349" t="b">
        <v>1</v>
      </c>
      <c r="I349">
        <v>8.91</v>
      </c>
      <c r="J349" t="s">
        <v>197</v>
      </c>
    </row>
    <row r="350" spans="1:10" x14ac:dyDescent="0.25">
      <c r="A350" t="s">
        <v>183</v>
      </c>
      <c r="B350">
        <v>96</v>
      </c>
      <c r="C350" t="s">
        <v>234</v>
      </c>
      <c r="D350">
        <v>38.401000000000003</v>
      </c>
      <c r="E350">
        <v>4</v>
      </c>
      <c r="F350">
        <v>96</v>
      </c>
      <c r="G350">
        <v>57.598999999999997</v>
      </c>
      <c r="H350" t="b">
        <v>0</v>
      </c>
    </row>
    <row r="351" spans="1:10" x14ac:dyDescent="0.25">
      <c r="A351" t="s">
        <v>183</v>
      </c>
      <c r="B351">
        <v>96</v>
      </c>
      <c r="C351" t="s">
        <v>235</v>
      </c>
      <c r="D351">
        <v>38.401000000000003</v>
      </c>
      <c r="E351">
        <v>4</v>
      </c>
      <c r="F351">
        <v>57.598999999999997</v>
      </c>
      <c r="G351">
        <v>19.198</v>
      </c>
      <c r="H351" t="b">
        <v>1</v>
      </c>
      <c r="I351">
        <v>19.198</v>
      </c>
      <c r="J351" t="s">
        <v>187</v>
      </c>
    </row>
    <row r="352" spans="1:10" x14ac:dyDescent="0.25">
      <c r="A352" t="s">
        <v>183</v>
      </c>
      <c r="B352">
        <v>96</v>
      </c>
      <c r="C352" t="s">
        <v>236</v>
      </c>
      <c r="D352">
        <v>38.401000000000003</v>
      </c>
      <c r="E352">
        <v>5</v>
      </c>
      <c r="F352">
        <v>96</v>
      </c>
      <c r="G352">
        <v>57.598999999999997</v>
      </c>
      <c r="H352" t="b">
        <v>0</v>
      </c>
    </row>
    <row r="353" spans="1:10" x14ac:dyDescent="0.25">
      <c r="A353" t="s">
        <v>183</v>
      </c>
      <c r="B353">
        <v>96</v>
      </c>
      <c r="C353" t="s">
        <v>237</v>
      </c>
      <c r="D353">
        <v>38.401000000000003</v>
      </c>
      <c r="E353">
        <v>5</v>
      </c>
      <c r="F353">
        <v>57.598999999999997</v>
      </c>
      <c r="G353">
        <v>19.198</v>
      </c>
      <c r="H353" t="b">
        <v>1</v>
      </c>
      <c r="I353">
        <v>19.198</v>
      </c>
      <c r="J353" t="s">
        <v>187</v>
      </c>
    </row>
    <row r="354" spans="1:10" x14ac:dyDescent="0.25">
      <c r="A354" t="s">
        <v>183</v>
      </c>
      <c r="B354">
        <v>96</v>
      </c>
      <c r="C354" t="s">
        <v>238</v>
      </c>
      <c r="D354">
        <v>38.401000000000003</v>
      </c>
      <c r="E354">
        <v>6</v>
      </c>
      <c r="F354">
        <v>96</v>
      </c>
      <c r="G354">
        <v>57.598999999999997</v>
      </c>
      <c r="H354" t="b">
        <v>0</v>
      </c>
    </row>
    <row r="355" spans="1:10" x14ac:dyDescent="0.25">
      <c r="A355" t="s">
        <v>183</v>
      </c>
      <c r="B355">
        <v>96</v>
      </c>
      <c r="C355" t="s">
        <v>556</v>
      </c>
      <c r="D355">
        <v>38.401000000000003</v>
      </c>
      <c r="E355">
        <v>6</v>
      </c>
      <c r="F355">
        <v>57.598999999999997</v>
      </c>
      <c r="G355">
        <v>19.198</v>
      </c>
      <c r="H355" t="b">
        <v>1</v>
      </c>
      <c r="I355">
        <v>19.198</v>
      </c>
      <c r="J355" t="s">
        <v>187</v>
      </c>
    </row>
    <row r="356" spans="1:10" x14ac:dyDescent="0.25">
      <c r="A356" t="s">
        <v>183</v>
      </c>
      <c r="B356">
        <v>96</v>
      </c>
      <c r="C356" t="s">
        <v>341</v>
      </c>
      <c r="D356">
        <v>31.248000000000001</v>
      </c>
      <c r="E356">
        <v>7</v>
      </c>
      <c r="F356">
        <v>96</v>
      </c>
      <c r="G356">
        <v>64.751999999999995</v>
      </c>
      <c r="H356" t="b">
        <v>0</v>
      </c>
    </row>
    <row r="357" spans="1:10" x14ac:dyDescent="0.25">
      <c r="A357" t="s">
        <v>183</v>
      </c>
      <c r="B357">
        <v>96</v>
      </c>
      <c r="C357" t="s">
        <v>342</v>
      </c>
      <c r="D357">
        <v>31.248000000000001</v>
      </c>
      <c r="E357">
        <v>7</v>
      </c>
      <c r="F357">
        <v>64.751999999999995</v>
      </c>
      <c r="G357">
        <v>33.503999999999998</v>
      </c>
      <c r="H357" t="b">
        <v>0</v>
      </c>
    </row>
    <row r="358" spans="1:10" x14ac:dyDescent="0.25">
      <c r="A358" t="s">
        <v>183</v>
      </c>
      <c r="B358">
        <v>96</v>
      </c>
      <c r="C358" t="s">
        <v>257</v>
      </c>
      <c r="D358">
        <v>22.061</v>
      </c>
      <c r="E358">
        <v>7</v>
      </c>
      <c r="F358">
        <v>33.503999999999998</v>
      </c>
      <c r="G358">
        <v>11.443</v>
      </c>
      <c r="H358" t="b">
        <v>1</v>
      </c>
      <c r="I358">
        <v>11.443</v>
      </c>
      <c r="J358" t="s">
        <v>197</v>
      </c>
    </row>
    <row r="359" spans="1:10" x14ac:dyDescent="0.25">
      <c r="A359" t="s">
        <v>183</v>
      </c>
      <c r="B359">
        <v>96</v>
      </c>
      <c r="C359" t="s">
        <v>258</v>
      </c>
      <c r="D359">
        <v>22.061</v>
      </c>
      <c r="E359">
        <v>8</v>
      </c>
      <c r="F359">
        <v>96</v>
      </c>
      <c r="G359">
        <v>73.938999999999993</v>
      </c>
      <c r="H359" t="b">
        <v>0</v>
      </c>
    </row>
    <row r="360" spans="1:10" x14ac:dyDescent="0.25">
      <c r="A360" t="s">
        <v>183</v>
      </c>
      <c r="B360">
        <v>96</v>
      </c>
      <c r="C360" t="s">
        <v>259</v>
      </c>
      <c r="D360">
        <v>22.061</v>
      </c>
      <c r="E360">
        <v>8</v>
      </c>
      <c r="F360">
        <v>73.938999999999993</v>
      </c>
      <c r="G360">
        <v>51.878</v>
      </c>
      <c r="H360" t="b">
        <v>0</v>
      </c>
    </row>
    <row r="361" spans="1:10" x14ac:dyDescent="0.25">
      <c r="A361" t="s">
        <v>183</v>
      </c>
      <c r="B361">
        <v>96</v>
      </c>
      <c r="C361" t="s">
        <v>260</v>
      </c>
      <c r="D361">
        <v>22.061</v>
      </c>
      <c r="E361">
        <v>8</v>
      </c>
      <c r="F361">
        <v>51.878</v>
      </c>
      <c r="G361">
        <v>29.817</v>
      </c>
      <c r="H361" t="b">
        <v>0</v>
      </c>
    </row>
    <row r="362" spans="1:10" x14ac:dyDescent="0.25">
      <c r="A362" t="s">
        <v>183</v>
      </c>
      <c r="B362">
        <v>96</v>
      </c>
      <c r="C362" t="s">
        <v>261</v>
      </c>
      <c r="D362">
        <v>22.061</v>
      </c>
      <c r="E362">
        <v>8</v>
      </c>
      <c r="F362">
        <v>29.817</v>
      </c>
      <c r="G362">
        <v>7.7560000000000002</v>
      </c>
      <c r="H362" t="b">
        <v>1</v>
      </c>
      <c r="I362">
        <v>7.7560000000000002</v>
      </c>
      <c r="J362" t="s">
        <v>197</v>
      </c>
    </row>
    <row r="363" spans="1:10" x14ac:dyDescent="0.25">
      <c r="A363" t="s">
        <v>183</v>
      </c>
      <c r="B363">
        <v>96</v>
      </c>
      <c r="C363" t="s">
        <v>262</v>
      </c>
      <c r="D363">
        <v>22.061</v>
      </c>
      <c r="E363">
        <v>9</v>
      </c>
      <c r="F363">
        <v>96</v>
      </c>
      <c r="G363">
        <v>73.938999999999993</v>
      </c>
      <c r="H363" t="b">
        <v>0</v>
      </c>
    </row>
    <row r="364" spans="1:10" x14ac:dyDescent="0.25">
      <c r="A364" t="s">
        <v>183</v>
      </c>
      <c r="B364">
        <v>96</v>
      </c>
      <c r="C364" t="s">
        <v>276</v>
      </c>
      <c r="D364">
        <v>15.007</v>
      </c>
      <c r="E364">
        <v>9</v>
      </c>
      <c r="F364">
        <v>73.938999999999993</v>
      </c>
      <c r="G364">
        <v>58.932000000000002</v>
      </c>
      <c r="H364" t="b">
        <v>0</v>
      </c>
    </row>
    <row r="365" spans="1:10" x14ac:dyDescent="0.25">
      <c r="A365" t="s">
        <v>183</v>
      </c>
      <c r="B365">
        <v>96</v>
      </c>
      <c r="C365" t="s">
        <v>487</v>
      </c>
      <c r="D365">
        <v>15.007</v>
      </c>
      <c r="E365">
        <v>9</v>
      </c>
      <c r="F365">
        <v>58.932000000000002</v>
      </c>
      <c r="G365">
        <v>43.924999999999997</v>
      </c>
      <c r="H365" t="b">
        <v>0</v>
      </c>
    </row>
    <row r="366" spans="1:10" x14ac:dyDescent="0.25">
      <c r="A366" t="s">
        <v>183</v>
      </c>
      <c r="B366">
        <v>96</v>
      </c>
      <c r="C366" t="s">
        <v>507</v>
      </c>
      <c r="D366">
        <v>15.007</v>
      </c>
      <c r="E366">
        <v>9</v>
      </c>
      <c r="F366">
        <v>43.924999999999997</v>
      </c>
      <c r="G366">
        <v>28.917999999999999</v>
      </c>
      <c r="H366" t="b">
        <v>0</v>
      </c>
    </row>
    <row r="367" spans="1:10" x14ac:dyDescent="0.25">
      <c r="A367" t="s">
        <v>183</v>
      </c>
      <c r="B367">
        <v>96</v>
      </c>
      <c r="C367" t="s">
        <v>508</v>
      </c>
      <c r="D367">
        <v>15.007</v>
      </c>
      <c r="E367">
        <v>9</v>
      </c>
      <c r="F367">
        <v>28.917999999999999</v>
      </c>
      <c r="G367">
        <v>13.911</v>
      </c>
      <c r="H367" t="b">
        <v>0</v>
      </c>
    </row>
    <row r="368" spans="1:10" x14ac:dyDescent="0.25">
      <c r="A368" t="s">
        <v>183</v>
      </c>
      <c r="B368">
        <v>96</v>
      </c>
      <c r="C368" t="s">
        <v>223</v>
      </c>
      <c r="D368">
        <v>10.525</v>
      </c>
      <c r="E368">
        <v>9</v>
      </c>
      <c r="F368">
        <v>13.911</v>
      </c>
      <c r="G368">
        <v>3.3860000000000001</v>
      </c>
      <c r="H368" t="b">
        <v>1</v>
      </c>
      <c r="I368">
        <v>3.3860000000000001</v>
      </c>
      <c r="J368" t="s">
        <v>197</v>
      </c>
    </row>
    <row r="369" spans="1:10" x14ac:dyDescent="0.25">
      <c r="A369" t="s">
        <v>183</v>
      </c>
      <c r="B369">
        <v>96</v>
      </c>
      <c r="C369" t="s">
        <v>405</v>
      </c>
      <c r="D369">
        <v>7.4569999999999999</v>
      </c>
      <c r="E369">
        <v>10</v>
      </c>
      <c r="F369">
        <v>96</v>
      </c>
      <c r="G369">
        <v>88.543000000000006</v>
      </c>
      <c r="H369" t="b">
        <v>1</v>
      </c>
      <c r="I369">
        <v>88.543000000000006</v>
      </c>
      <c r="J369" t="s">
        <v>187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27320A-C6AE-49A2-B0D0-7C835201B984}">
  <sheetPr codeName="Sheet5"/>
  <dimension ref="A1:J369"/>
  <sheetViews>
    <sheetView workbookViewId="0"/>
  </sheetViews>
  <sheetFormatPr defaultRowHeight="15" x14ac:dyDescent="0.25"/>
  <cols>
    <col min="1" max="1" width="11.5703125" bestFit="1" customWidth="1"/>
    <col min="2" max="2" width="12.42578125" bestFit="1" customWidth="1"/>
    <col min="3" max="3" width="10.28515625" bestFit="1" customWidth="1"/>
    <col min="4" max="4" width="12.42578125" bestFit="1" customWidth="1"/>
    <col min="5" max="5" width="7.140625" bestFit="1" customWidth="1"/>
    <col min="6" max="6" width="21.7109375" bestFit="1" customWidth="1"/>
    <col min="7" max="7" width="20.140625" bestFit="1" customWidth="1"/>
    <col min="8" max="8" width="11.140625" bestFit="1" customWidth="1"/>
    <col min="9" max="9" width="18.85546875" bestFit="1" customWidth="1"/>
    <col min="10" max="10" width="17.28515625" bestFit="1" customWidth="1"/>
  </cols>
  <sheetData>
    <row r="1" spans="1:10" s="1" customFormat="1" x14ac:dyDescent="0.25">
      <c r="A1" s="1" t="s">
        <v>35</v>
      </c>
      <c r="B1" s="1" t="s">
        <v>51</v>
      </c>
      <c r="C1" s="1" t="s">
        <v>52</v>
      </c>
      <c r="D1" s="1" t="s">
        <v>53</v>
      </c>
      <c r="E1" s="1" t="s">
        <v>54</v>
      </c>
      <c r="F1" s="1" t="s">
        <v>55</v>
      </c>
      <c r="G1" s="1" t="s">
        <v>56</v>
      </c>
      <c r="H1" s="1" t="s">
        <v>57</v>
      </c>
      <c r="I1" s="1" t="s">
        <v>58</v>
      </c>
      <c r="J1" s="1" t="s">
        <v>59</v>
      </c>
    </row>
    <row r="2" spans="1:10" x14ac:dyDescent="0.25">
      <c r="A2" t="s">
        <v>164</v>
      </c>
      <c r="B2">
        <v>144</v>
      </c>
      <c r="C2" t="s">
        <v>185</v>
      </c>
      <c r="D2">
        <v>39.756999999999998</v>
      </c>
      <c r="E2">
        <v>1</v>
      </c>
      <c r="F2">
        <v>144</v>
      </c>
      <c r="G2">
        <v>104.24299999999999</v>
      </c>
      <c r="H2" t="b">
        <v>0</v>
      </c>
    </row>
    <row r="3" spans="1:10" x14ac:dyDescent="0.25">
      <c r="A3" t="s">
        <v>164</v>
      </c>
      <c r="B3">
        <v>144</v>
      </c>
      <c r="C3" t="s">
        <v>186</v>
      </c>
      <c r="D3">
        <v>39.756999999999998</v>
      </c>
      <c r="E3">
        <v>1</v>
      </c>
      <c r="F3">
        <v>104.24299999999999</v>
      </c>
      <c r="G3">
        <v>64.486000000000004</v>
      </c>
      <c r="H3" t="b">
        <v>0</v>
      </c>
    </row>
    <row r="4" spans="1:10" x14ac:dyDescent="0.25">
      <c r="A4" t="s">
        <v>164</v>
      </c>
      <c r="B4">
        <v>144</v>
      </c>
      <c r="C4" t="s">
        <v>188</v>
      </c>
      <c r="D4">
        <v>39.756999999999998</v>
      </c>
      <c r="E4">
        <v>1</v>
      </c>
      <c r="F4">
        <v>64.486000000000004</v>
      </c>
      <c r="G4">
        <v>24.728999999999999</v>
      </c>
      <c r="H4" t="b">
        <v>0</v>
      </c>
    </row>
    <row r="5" spans="1:10" x14ac:dyDescent="0.25">
      <c r="A5" t="s">
        <v>164</v>
      </c>
      <c r="B5">
        <v>144</v>
      </c>
      <c r="C5" t="s">
        <v>471</v>
      </c>
      <c r="D5">
        <v>39.756999999999998</v>
      </c>
      <c r="E5">
        <v>2</v>
      </c>
      <c r="F5">
        <v>144</v>
      </c>
      <c r="G5">
        <v>104.24299999999999</v>
      </c>
      <c r="H5" t="b">
        <v>0</v>
      </c>
    </row>
    <row r="6" spans="1:10" x14ac:dyDescent="0.25">
      <c r="A6" t="s">
        <v>164</v>
      </c>
      <c r="B6">
        <v>144</v>
      </c>
      <c r="C6" t="s">
        <v>531</v>
      </c>
      <c r="D6">
        <v>39.756999999999998</v>
      </c>
      <c r="E6">
        <v>2</v>
      </c>
      <c r="F6">
        <v>104.24299999999999</v>
      </c>
      <c r="G6">
        <v>64.486000000000004</v>
      </c>
      <c r="H6" t="b">
        <v>0</v>
      </c>
    </row>
    <row r="7" spans="1:10" x14ac:dyDescent="0.25">
      <c r="A7" t="s">
        <v>164</v>
      </c>
      <c r="B7">
        <v>144</v>
      </c>
      <c r="C7" t="s">
        <v>532</v>
      </c>
      <c r="D7">
        <v>39.756999999999998</v>
      </c>
      <c r="E7">
        <v>2</v>
      </c>
      <c r="F7">
        <v>64.486000000000004</v>
      </c>
      <c r="G7">
        <v>24.728999999999999</v>
      </c>
      <c r="H7" t="b">
        <v>0</v>
      </c>
    </row>
    <row r="8" spans="1:10" x14ac:dyDescent="0.25">
      <c r="A8" t="s">
        <v>164</v>
      </c>
      <c r="B8">
        <v>144</v>
      </c>
      <c r="C8" t="s">
        <v>399</v>
      </c>
      <c r="D8">
        <v>38.548000000000002</v>
      </c>
      <c r="E8">
        <v>3</v>
      </c>
      <c r="F8">
        <v>144</v>
      </c>
      <c r="G8">
        <v>105.452</v>
      </c>
      <c r="H8" t="b">
        <v>0</v>
      </c>
    </row>
    <row r="9" spans="1:10" x14ac:dyDescent="0.25">
      <c r="A9" t="s">
        <v>164</v>
      </c>
      <c r="B9">
        <v>144</v>
      </c>
      <c r="C9" t="s">
        <v>400</v>
      </c>
      <c r="D9">
        <v>38.548000000000002</v>
      </c>
      <c r="E9">
        <v>3</v>
      </c>
      <c r="F9">
        <v>105.452</v>
      </c>
      <c r="G9">
        <v>66.903999999999996</v>
      </c>
      <c r="H9" t="b">
        <v>0</v>
      </c>
    </row>
    <row r="10" spans="1:10" x14ac:dyDescent="0.25">
      <c r="A10" t="s">
        <v>164</v>
      </c>
      <c r="B10">
        <v>144</v>
      </c>
      <c r="C10" t="s">
        <v>485</v>
      </c>
      <c r="D10">
        <v>38.548000000000002</v>
      </c>
      <c r="E10">
        <v>3</v>
      </c>
      <c r="F10">
        <v>66.903999999999996</v>
      </c>
      <c r="G10">
        <v>28.356000000000002</v>
      </c>
      <c r="H10" t="b">
        <v>0</v>
      </c>
    </row>
    <row r="11" spans="1:10" x14ac:dyDescent="0.25">
      <c r="A11" t="s">
        <v>164</v>
      </c>
      <c r="B11">
        <v>144</v>
      </c>
      <c r="C11" t="s">
        <v>486</v>
      </c>
      <c r="D11">
        <v>38.548000000000002</v>
      </c>
      <c r="E11">
        <v>4</v>
      </c>
      <c r="F11">
        <v>144</v>
      </c>
      <c r="G11">
        <v>105.452</v>
      </c>
      <c r="H11" t="b">
        <v>0</v>
      </c>
    </row>
    <row r="12" spans="1:10" x14ac:dyDescent="0.25">
      <c r="A12" t="s">
        <v>164</v>
      </c>
      <c r="B12">
        <v>144</v>
      </c>
      <c r="C12" t="s">
        <v>533</v>
      </c>
      <c r="D12">
        <v>38.548000000000002</v>
      </c>
      <c r="E12">
        <v>4</v>
      </c>
      <c r="F12">
        <v>105.452</v>
      </c>
      <c r="G12">
        <v>66.903999999999996</v>
      </c>
      <c r="H12" t="b">
        <v>0</v>
      </c>
    </row>
    <row r="13" spans="1:10" x14ac:dyDescent="0.25">
      <c r="A13" t="s">
        <v>164</v>
      </c>
      <c r="B13">
        <v>144</v>
      </c>
      <c r="C13" t="s">
        <v>534</v>
      </c>
      <c r="D13">
        <v>38.548000000000002</v>
      </c>
      <c r="E13">
        <v>4</v>
      </c>
      <c r="F13">
        <v>66.903999999999996</v>
      </c>
      <c r="G13">
        <v>28.356000000000002</v>
      </c>
      <c r="H13" t="b">
        <v>0</v>
      </c>
    </row>
    <row r="14" spans="1:10" x14ac:dyDescent="0.25">
      <c r="A14" t="s">
        <v>164</v>
      </c>
      <c r="B14">
        <v>144</v>
      </c>
      <c r="C14" t="s">
        <v>207</v>
      </c>
      <c r="D14">
        <v>29.111999999999998</v>
      </c>
      <c r="E14">
        <v>5</v>
      </c>
      <c r="F14">
        <v>144</v>
      </c>
      <c r="G14">
        <v>114.88800000000001</v>
      </c>
      <c r="H14" t="b">
        <v>0</v>
      </c>
    </row>
    <row r="15" spans="1:10" x14ac:dyDescent="0.25">
      <c r="A15" t="s">
        <v>164</v>
      </c>
      <c r="B15">
        <v>144</v>
      </c>
      <c r="C15" t="s">
        <v>208</v>
      </c>
      <c r="D15">
        <v>29.111999999999998</v>
      </c>
      <c r="E15">
        <v>5</v>
      </c>
      <c r="F15">
        <v>114.88800000000001</v>
      </c>
      <c r="G15">
        <v>85.775999999999996</v>
      </c>
      <c r="H15" t="b">
        <v>0</v>
      </c>
    </row>
    <row r="16" spans="1:10" x14ac:dyDescent="0.25">
      <c r="A16" t="s">
        <v>164</v>
      </c>
      <c r="B16">
        <v>144</v>
      </c>
      <c r="C16" t="s">
        <v>209</v>
      </c>
      <c r="D16">
        <v>29.111999999999998</v>
      </c>
      <c r="E16">
        <v>5</v>
      </c>
      <c r="F16">
        <v>85.775999999999996</v>
      </c>
      <c r="G16">
        <v>56.664000000000001</v>
      </c>
      <c r="H16" t="b">
        <v>0</v>
      </c>
    </row>
    <row r="17" spans="1:10" x14ac:dyDescent="0.25">
      <c r="A17" t="s">
        <v>164</v>
      </c>
      <c r="B17">
        <v>144</v>
      </c>
      <c r="C17" t="s">
        <v>210</v>
      </c>
      <c r="D17">
        <v>29.111999999999998</v>
      </c>
      <c r="E17">
        <v>5</v>
      </c>
      <c r="F17">
        <v>56.664000000000001</v>
      </c>
      <c r="G17">
        <v>27.552</v>
      </c>
      <c r="H17" t="b">
        <v>0</v>
      </c>
    </row>
    <row r="18" spans="1:10" x14ac:dyDescent="0.25">
      <c r="A18" t="s">
        <v>164</v>
      </c>
      <c r="B18">
        <v>144</v>
      </c>
      <c r="C18" t="s">
        <v>535</v>
      </c>
      <c r="D18">
        <v>29.111999999999998</v>
      </c>
      <c r="E18">
        <v>6</v>
      </c>
      <c r="F18">
        <v>144</v>
      </c>
      <c r="G18">
        <v>114.88800000000001</v>
      </c>
      <c r="H18" t="b">
        <v>0</v>
      </c>
    </row>
    <row r="19" spans="1:10" x14ac:dyDescent="0.25">
      <c r="A19" t="s">
        <v>164</v>
      </c>
      <c r="B19">
        <v>144</v>
      </c>
      <c r="C19" t="s">
        <v>536</v>
      </c>
      <c r="D19">
        <v>29.111999999999998</v>
      </c>
      <c r="E19">
        <v>6</v>
      </c>
      <c r="F19">
        <v>114.88800000000001</v>
      </c>
      <c r="G19">
        <v>85.775999999999996</v>
      </c>
      <c r="H19" t="b">
        <v>0</v>
      </c>
    </row>
    <row r="20" spans="1:10" x14ac:dyDescent="0.25">
      <c r="A20" t="s">
        <v>164</v>
      </c>
      <c r="B20">
        <v>144</v>
      </c>
      <c r="C20" t="s">
        <v>421</v>
      </c>
      <c r="D20">
        <v>28.442</v>
      </c>
      <c r="E20">
        <v>6</v>
      </c>
      <c r="F20">
        <v>85.775999999999996</v>
      </c>
      <c r="G20">
        <v>57.334000000000003</v>
      </c>
      <c r="H20" t="b">
        <v>0</v>
      </c>
    </row>
    <row r="21" spans="1:10" x14ac:dyDescent="0.25">
      <c r="A21" t="s">
        <v>164</v>
      </c>
      <c r="B21">
        <v>144</v>
      </c>
      <c r="C21" t="s">
        <v>422</v>
      </c>
      <c r="D21">
        <v>28.442</v>
      </c>
      <c r="E21">
        <v>6</v>
      </c>
      <c r="F21">
        <v>57.334000000000003</v>
      </c>
      <c r="G21">
        <v>28.891999999999999</v>
      </c>
      <c r="H21" t="b">
        <v>0</v>
      </c>
    </row>
    <row r="22" spans="1:10" x14ac:dyDescent="0.25">
      <c r="A22" t="s">
        <v>164</v>
      </c>
      <c r="B22">
        <v>144</v>
      </c>
      <c r="C22" t="s">
        <v>277</v>
      </c>
      <c r="D22">
        <v>27.753</v>
      </c>
      <c r="E22">
        <v>3</v>
      </c>
      <c r="F22">
        <v>28.356000000000002</v>
      </c>
      <c r="G22">
        <v>0.60299999999999998</v>
      </c>
      <c r="H22" t="b">
        <v>1</v>
      </c>
      <c r="I22">
        <v>0.60299999999999998</v>
      </c>
      <c r="J22" t="s">
        <v>197</v>
      </c>
    </row>
    <row r="23" spans="1:10" x14ac:dyDescent="0.25">
      <c r="A23" t="s">
        <v>164</v>
      </c>
      <c r="B23">
        <v>144</v>
      </c>
      <c r="C23" t="s">
        <v>278</v>
      </c>
      <c r="D23">
        <v>27.753</v>
      </c>
      <c r="E23">
        <v>4</v>
      </c>
      <c r="F23">
        <v>28.356000000000002</v>
      </c>
      <c r="G23">
        <v>0.60299999999999998</v>
      </c>
      <c r="H23" t="b">
        <v>1</v>
      </c>
      <c r="I23">
        <v>0.60299999999999998</v>
      </c>
      <c r="J23" t="s">
        <v>197</v>
      </c>
    </row>
    <row r="24" spans="1:10" x14ac:dyDescent="0.25">
      <c r="A24" t="s">
        <v>164</v>
      </c>
      <c r="B24">
        <v>144</v>
      </c>
      <c r="C24" t="s">
        <v>350</v>
      </c>
      <c r="D24">
        <v>14.904999999999999</v>
      </c>
      <c r="E24">
        <v>1</v>
      </c>
      <c r="F24">
        <v>24.728999999999999</v>
      </c>
      <c r="G24">
        <v>9.8239999999999998</v>
      </c>
      <c r="H24" t="b">
        <v>0</v>
      </c>
    </row>
    <row r="25" spans="1:10" x14ac:dyDescent="0.25">
      <c r="A25" t="s">
        <v>164</v>
      </c>
      <c r="B25">
        <v>144</v>
      </c>
      <c r="C25" t="s">
        <v>351</v>
      </c>
      <c r="D25">
        <v>14.904999999999999</v>
      </c>
      <c r="E25">
        <v>2</v>
      </c>
      <c r="F25">
        <v>24.728999999999999</v>
      </c>
      <c r="G25">
        <v>9.8239999999999998</v>
      </c>
      <c r="H25" t="b">
        <v>1</v>
      </c>
      <c r="I25">
        <v>9.8239999999999998</v>
      </c>
      <c r="J25" t="s">
        <v>197</v>
      </c>
    </row>
    <row r="26" spans="1:10" x14ac:dyDescent="0.25">
      <c r="A26" t="s">
        <v>164</v>
      </c>
      <c r="B26">
        <v>144</v>
      </c>
      <c r="C26" t="s">
        <v>352</v>
      </c>
      <c r="D26">
        <v>14.904999999999999</v>
      </c>
      <c r="E26">
        <v>5</v>
      </c>
      <c r="F26">
        <v>27.552</v>
      </c>
      <c r="G26">
        <v>12.647</v>
      </c>
      <c r="H26" t="b">
        <v>1</v>
      </c>
      <c r="I26">
        <v>12.647</v>
      </c>
      <c r="J26" t="s">
        <v>187</v>
      </c>
    </row>
    <row r="27" spans="1:10" x14ac:dyDescent="0.25">
      <c r="A27" t="s">
        <v>164</v>
      </c>
      <c r="B27">
        <v>144</v>
      </c>
      <c r="C27" t="s">
        <v>524</v>
      </c>
      <c r="D27">
        <v>14.904999999999999</v>
      </c>
      <c r="E27">
        <v>6</v>
      </c>
      <c r="F27">
        <v>28.891999999999999</v>
      </c>
      <c r="G27">
        <v>13.987</v>
      </c>
      <c r="H27" t="b">
        <v>1</v>
      </c>
      <c r="I27">
        <v>13.987</v>
      </c>
      <c r="J27" t="s">
        <v>187</v>
      </c>
    </row>
    <row r="28" spans="1:10" x14ac:dyDescent="0.25">
      <c r="A28" t="s">
        <v>164</v>
      </c>
      <c r="B28">
        <v>144</v>
      </c>
      <c r="C28" t="s">
        <v>271</v>
      </c>
      <c r="D28">
        <v>4.9950000000000001</v>
      </c>
      <c r="E28">
        <v>1</v>
      </c>
      <c r="F28">
        <v>9.8239999999999998</v>
      </c>
      <c r="G28">
        <v>4.8289999999999997</v>
      </c>
      <c r="H28" t="b">
        <v>1</v>
      </c>
      <c r="I28">
        <v>4.8289999999999997</v>
      </c>
      <c r="J28" t="s">
        <v>197</v>
      </c>
    </row>
    <row r="29" spans="1:10" x14ac:dyDescent="0.25">
      <c r="A29" t="s">
        <v>165</v>
      </c>
      <c r="B29">
        <v>96</v>
      </c>
      <c r="C29" t="s">
        <v>439</v>
      </c>
      <c r="D29">
        <v>44.473999999999997</v>
      </c>
      <c r="E29">
        <v>1</v>
      </c>
      <c r="F29">
        <v>96</v>
      </c>
      <c r="G29">
        <v>51.526000000000003</v>
      </c>
      <c r="H29" t="b">
        <v>0</v>
      </c>
    </row>
    <row r="30" spans="1:10" x14ac:dyDescent="0.25">
      <c r="A30" t="s">
        <v>165</v>
      </c>
      <c r="B30">
        <v>96</v>
      </c>
      <c r="C30" t="s">
        <v>440</v>
      </c>
      <c r="D30">
        <v>44.473999999999997</v>
      </c>
      <c r="E30">
        <v>1</v>
      </c>
      <c r="F30">
        <v>51.526000000000003</v>
      </c>
      <c r="G30">
        <v>7.0519999999999996</v>
      </c>
      <c r="H30" t="b">
        <v>1</v>
      </c>
      <c r="I30">
        <v>7.0519999999999996</v>
      </c>
      <c r="J30" t="s">
        <v>197</v>
      </c>
    </row>
    <row r="31" spans="1:10" x14ac:dyDescent="0.25">
      <c r="A31" t="s">
        <v>165</v>
      </c>
      <c r="B31">
        <v>96</v>
      </c>
      <c r="C31" t="s">
        <v>441</v>
      </c>
      <c r="D31">
        <v>44.473999999999997</v>
      </c>
      <c r="E31">
        <v>2</v>
      </c>
      <c r="F31">
        <v>96</v>
      </c>
      <c r="G31">
        <v>51.526000000000003</v>
      </c>
      <c r="H31" t="b">
        <v>0</v>
      </c>
    </row>
    <row r="32" spans="1:10" x14ac:dyDescent="0.25">
      <c r="A32" t="s">
        <v>165</v>
      </c>
      <c r="B32">
        <v>96</v>
      </c>
      <c r="C32" t="s">
        <v>442</v>
      </c>
      <c r="D32">
        <v>44.473999999999997</v>
      </c>
      <c r="E32">
        <v>2</v>
      </c>
      <c r="F32">
        <v>51.526000000000003</v>
      </c>
      <c r="G32">
        <v>7.0519999999999996</v>
      </c>
      <c r="H32" t="b">
        <v>1</v>
      </c>
      <c r="I32">
        <v>7.0519999999999996</v>
      </c>
      <c r="J32" t="s">
        <v>197</v>
      </c>
    </row>
    <row r="33" spans="1:10" x14ac:dyDescent="0.25">
      <c r="A33" t="s">
        <v>165</v>
      </c>
      <c r="B33">
        <v>96</v>
      </c>
      <c r="C33" t="s">
        <v>465</v>
      </c>
      <c r="D33">
        <v>44.473999999999997</v>
      </c>
      <c r="E33">
        <v>3</v>
      </c>
      <c r="F33">
        <v>96</v>
      </c>
      <c r="G33">
        <v>51.526000000000003</v>
      </c>
      <c r="H33" t="b">
        <v>0</v>
      </c>
    </row>
    <row r="34" spans="1:10" x14ac:dyDescent="0.25">
      <c r="A34" t="s">
        <v>165</v>
      </c>
      <c r="B34">
        <v>96</v>
      </c>
      <c r="C34" t="s">
        <v>390</v>
      </c>
      <c r="D34">
        <v>39.915999999999997</v>
      </c>
      <c r="E34">
        <v>3</v>
      </c>
      <c r="F34">
        <v>51.526000000000003</v>
      </c>
      <c r="G34">
        <v>11.61</v>
      </c>
      <c r="H34" t="b">
        <v>0</v>
      </c>
    </row>
    <row r="35" spans="1:10" x14ac:dyDescent="0.25">
      <c r="A35" t="s">
        <v>165</v>
      </c>
      <c r="B35">
        <v>96</v>
      </c>
      <c r="C35" t="s">
        <v>510</v>
      </c>
      <c r="D35">
        <v>39.915999999999997</v>
      </c>
      <c r="E35">
        <v>4</v>
      </c>
      <c r="F35">
        <v>96</v>
      </c>
      <c r="G35">
        <v>56.084000000000003</v>
      </c>
      <c r="H35" t="b">
        <v>0</v>
      </c>
    </row>
    <row r="36" spans="1:10" x14ac:dyDescent="0.25">
      <c r="A36" t="s">
        <v>165</v>
      </c>
      <c r="B36">
        <v>96</v>
      </c>
      <c r="C36" t="s">
        <v>511</v>
      </c>
      <c r="D36">
        <v>39.915999999999997</v>
      </c>
      <c r="E36">
        <v>4</v>
      </c>
      <c r="F36">
        <v>56.084000000000003</v>
      </c>
      <c r="G36">
        <v>16.167999999999999</v>
      </c>
      <c r="H36" t="b">
        <v>0</v>
      </c>
    </row>
    <row r="37" spans="1:10" x14ac:dyDescent="0.25">
      <c r="A37" t="s">
        <v>165</v>
      </c>
      <c r="B37">
        <v>96</v>
      </c>
      <c r="C37" t="s">
        <v>512</v>
      </c>
      <c r="D37">
        <v>39.915999999999997</v>
      </c>
      <c r="E37">
        <v>5</v>
      </c>
      <c r="F37">
        <v>96</v>
      </c>
      <c r="G37">
        <v>56.084000000000003</v>
      </c>
      <c r="H37" t="b">
        <v>0</v>
      </c>
    </row>
    <row r="38" spans="1:10" x14ac:dyDescent="0.25">
      <c r="A38" t="s">
        <v>165</v>
      </c>
      <c r="B38">
        <v>96</v>
      </c>
      <c r="C38" t="s">
        <v>513</v>
      </c>
      <c r="D38">
        <v>39.915999999999997</v>
      </c>
      <c r="E38">
        <v>5</v>
      </c>
      <c r="F38">
        <v>56.084000000000003</v>
      </c>
      <c r="G38">
        <v>16.167999999999999</v>
      </c>
      <c r="H38" t="b">
        <v>0</v>
      </c>
    </row>
    <row r="39" spans="1:10" x14ac:dyDescent="0.25">
      <c r="A39" t="s">
        <v>165</v>
      </c>
      <c r="B39">
        <v>96</v>
      </c>
      <c r="C39" t="s">
        <v>537</v>
      </c>
      <c r="D39">
        <v>39.915999999999997</v>
      </c>
      <c r="E39">
        <v>6</v>
      </c>
      <c r="F39">
        <v>96</v>
      </c>
      <c r="G39">
        <v>56.084000000000003</v>
      </c>
      <c r="H39" t="b">
        <v>0</v>
      </c>
    </row>
    <row r="40" spans="1:10" x14ac:dyDescent="0.25">
      <c r="A40" t="s">
        <v>165</v>
      </c>
      <c r="B40">
        <v>96</v>
      </c>
      <c r="C40" t="s">
        <v>346</v>
      </c>
      <c r="D40">
        <v>34.918999999999997</v>
      </c>
      <c r="E40">
        <v>6</v>
      </c>
      <c r="F40">
        <v>56.084000000000003</v>
      </c>
      <c r="G40">
        <v>21.164999999999999</v>
      </c>
      <c r="H40" t="b">
        <v>0</v>
      </c>
    </row>
    <row r="41" spans="1:10" x14ac:dyDescent="0.25">
      <c r="A41" t="s">
        <v>165</v>
      </c>
      <c r="B41">
        <v>96</v>
      </c>
      <c r="C41" t="s">
        <v>347</v>
      </c>
      <c r="D41">
        <v>34.918999999999997</v>
      </c>
      <c r="E41">
        <v>7</v>
      </c>
      <c r="F41">
        <v>96</v>
      </c>
      <c r="G41">
        <v>61.081000000000003</v>
      </c>
      <c r="H41" t="b">
        <v>0</v>
      </c>
    </row>
    <row r="42" spans="1:10" x14ac:dyDescent="0.25">
      <c r="A42" t="s">
        <v>165</v>
      </c>
      <c r="B42">
        <v>96</v>
      </c>
      <c r="C42" t="s">
        <v>348</v>
      </c>
      <c r="D42">
        <v>34.918999999999997</v>
      </c>
      <c r="E42">
        <v>7</v>
      </c>
      <c r="F42">
        <v>61.081000000000003</v>
      </c>
      <c r="G42">
        <v>26.161999999999999</v>
      </c>
      <c r="H42" t="b">
        <v>0</v>
      </c>
    </row>
    <row r="43" spans="1:10" x14ac:dyDescent="0.25">
      <c r="A43" t="s">
        <v>165</v>
      </c>
      <c r="B43">
        <v>96</v>
      </c>
      <c r="C43" t="s">
        <v>349</v>
      </c>
      <c r="D43">
        <v>34.918999999999997</v>
      </c>
      <c r="E43">
        <v>8</v>
      </c>
      <c r="F43">
        <v>96</v>
      </c>
      <c r="G43">
        <v>61.081000000000003</v>
      </c>
      <c r="H43" t="b">
        <v>0</v>
      </c>
    </row>
    <row r="44" spans="1:10" x14ac:dyDescent="0.25">
      <c r="A44" t="s">
        <v>165</v>
      </c>
      <c r="B44">
        <v>96</v>
      </c>
      <c r="C44" t="s">
        <v>452</v>
      </c>
      <c r="D44">
        <v>34.918999999999997</v>
      </c>
      <c r="E44">
        <v>8</v>
      </c>
      <c r="F44">
        <v>61.081000000000003</v>
      </c>
      <c r="G44">
        <v>26.161999999999999</v>
      </c>
      <c r="H44" t="b">
        <v>0</v>
      </c>
    </row>
    <row r="45" spans="1:10" x14ac:dyDescent="0.25">
      <c r="A45" t="s">
        <v>165</v>
      </c>
      <c r="B45">
        <v>96</v>
      </c>
      <c r="C45" t="s">
        <v>453</v>
      </c>
      <c r="D45">
        <v>34.918999999999997</v>
      </c>
      <c r="E45">
        <v>9</v>
      </c>
      <c r="F45">
        <v>96</v>
      </c>
      <c r="G45">
        <v>61.081000000000003</v>
      </c>
      <c r="H45" t="b">
        <v>0</v>
      </c>
    </row>
    <row r="46" spans="1:10" x14ac:dyDescent="0.25">
      <c r="A46" t="s">
        <v>165</v>
      </c>
      <c r="B46">
        <v>96</v>
      </c>
      <c r="C46" t="s">
        <v>369</v>
      </c>
      <c r="D46">
        <v>16.222000000000001</v>
      </c>
      <c r="E46">
        <v>6</v>
      </c>
      <c r="F46">
        <v>21.164999999999999</v>
      </c>
      <c r="G46">
        <v>4.9429999999999996</v>
      </c>
      <c r="H46" t="b">
        <v>1</v>
      </c>
      <c r="I46">
        <v>4.9429999999999996</v>
      </c>
      <c r="J46" t="s">
        <v>197</v>
      </c>
    </row>
    <row r="47" spans="1:10" x14ac:dyDescent="0.25">
      <c r="A47" t="s">
        <v>165</v>
      </c>
      <c r="B47">
        <v>96</v>
      </c>
      <c r="C47" t="s">
        <v>476</v>
      </c>
      <c r="D47">
        <v>16.222000000000001</v>
      </c>
      <c r="E47">
        <v>7</v>
      </c>
      <c r="F47">
        <v>26.161999999999999</v>
      </c>
      <c r="G47">
        <v>9.94</v>
      </c>
      <c r="H47" t="b">
        <v>1</v>
      </c>
      <c r="I47">
        <v>9.94</v>
      </c>
      <c r="J47" t="s">
        <v>197</v>
      </c>
    </row>
    <row r="48" spans="1:10" x14ac:dyDescent="0.25">
      <c r="A48" t="s">
        <v>165</v>
      </c>
      <c r="B48">
        <v>96</v>
      </c>
      <c r="C48" t="s">
        <v>477</v>
      </c>
      <c r="D48">
        <v>16.222000000000001</v>
      </c>
      <c r="E48">
        <v>8</v>
      </c>
      <c r="F48">
        <v>26.161999999999999</v>
      </c>
      <c r="G48">
        <v>9.94</v>
      </c>
      <c r="H48" t="b">
        <v>1</v>
      </c>
      <c r="I48">
        <v>9.94</v>
      </c>
      <c r="J48" t="s">
        <v>197</v>
      </c>
    </row>
    <row r="49" spans="1:10" x14ac:dyDescent="0.25">
      <c r="A49" t="s">
        <v>165</v>
      </c>
      <c r="B49">
        <v>96</v>
      </c>
      <c r="C49" t="s">
        <v>216</v>
      </c>
      <c r="D49">
        <v>11.214</v>
      </c>
      <c r="E49">
        <v>3</v>
      </c>
      <c r="F49">
        <v>11.61</v>
      </c>
      <c r="G49">
        <v>0.39600000000000002</v>
      </c>
      <c r="H49" t="b">
        <v>1</v>
      </c>
      <c r="I49">
        <v>0.39600000000000002</v>
      </c>
      <c r="J49" t="s">
        <v>197</v>
      </c>
    </row>
    <row r="50" spans="1:10" x14ac:dyDescent="0.25">
      <c r="A50" t="s">
        <v>165</v>
      </c>
      <c r="B50">
        <v>96</v>
      </c>
      <c r="C50" t="s">
        <v>217</v>
      </c>
      <c r="D50">
        <v>11.214</v>
      </c>
      <c r="E50">
        <v>4</v>
      </c>
      <c r="F50">
        <v>16.167999999999999</v>
      </c>
      <c r="G50">
        <v>4.9539999999999997</v>
      </c>
      <c r="H50" t="b">
        <v>1</v>
      </c>
      <c r="I50">
        <v>4.9539999999999997</v>
      </c>
      <c r="J50" t="s">
        <v>197</v>
      </c>
    </row>
    <row r="51" spans="1:10" x14ac:dyDescent="0.25">
      <c r="A51" t="s">
        <v>165</v>
      </c>
      <c r="B51">
        <v>96</v>
      </c>
      <c r="C51" t="s">
        <v>218</v>
      </c>
      <c r="D51">
        <v>11.214</v>
      </c>
      <c r="E51">
        <v>5</v>
      </c>
      <c r="F51">
        <v>16.167999999999999</v>
      </c>
      <c r="G51">
        <v>4.9539999999999997</v>
      </c>
      <c r="H51" t="b">
        <v>1</v>
      </c>
      <c r="I51">
        <v>4.9539999999999997</v>
      </c>
      <c r="J51" t="s">
        <v>197</v>
      </c>
    </row>
    <row r="52" spans="1:10" x14ac:dyDescent="0.25">
      <c r="A52" t="s">
        <v>165</v>
      </c>
      <c r="B52">
        <v>96</v>
      </c>
      <c r="C52" t="s">
        <v>219</v>
      </c>
      <c r="D52">
        <v>11.214</v>
      </c>
      <c r="E52">
        <v>9</v>
      </c>
      <c r="F52">
        <v>61.081000000000003</v>
      </c>
      <c r="G52">
        <v>49.866999999999997</v>
      </c>
      <c r="H52" t="b">
        <v>1</v>
      </c>
      <c r="I52">
        <v>49.866999999999997</v>
      </c>
      <c r="J52" t="s">
        <v>187</v>
      </c>
    </row>
    <row r="53" spans="1:10" x14ac:dyDescent="0.25">
      <c r="A53" t="s">
        <v>166</v>
      </c>
      <c r="B53">
        <v>144</v>
      </c>
      <c r="C53" t="s">
        <v>320</v>
      </c>
      <c r="D53">
        <v>39.258000000000003</v>
      </c>
      <c r="E53">
        <v>1</v>
      </c>
      <c r="F53">
        <v>144</v>
      </c>
      <c r="G53">
        <v>104.742</v>
      </c>
      <c r="H53" t="b">
        <v>0</v>
      </c>
    </row>
    <row r="54" spans="1:10" x14ac:dyDescent="0.25">
      <c r="A54" t="s">
        <v>166</v>
      </c>
      <c r="B54">
        <v>144</v>
      </c>
      <c r="C54" t="s">
        <v>321</v>
      </c>
      <c r="D54">
        <v>39.258000000000003</v>
      </c>
      <c r="E54">
        <v>1</v>
      </c>
      <c r="F54">
        <v>104.742</v>
      </c>
      <c r="G54">
        <v>65.483999999999995</v>
      </c>
      <c r="H54" t="b">
        <v>0</v>
      </c>
    </row>
    <row r="55" spans="1:10" x14ac:dyDescent="0.25">
      <c r="A55" t="s">
        <v>166</v>
      </c>
      <c r="B55">
        <v>144</v>
      </c>
      <c r="C55" t="s">
        <v>322</v>
      </c>
      <c r="D55">
        <v>39.258000000000003</v>
      </c>
      <c r="E55">
        <v>1</v>
      </c>
      <c r="F55">
        <v>65.483999999999995</v>
      </c>
      <c r="G55">
        <v>26.225999999999999</v>
      </c>
      <c r="H55" t="b">
        <v>0</v>
      </c>
    </row>
    <row r="56" spans="1:10" x14ac:dyDescent="0.25">
      <c r="A56" t="s">
        <v>166</v>
      </c>
      <c r="B56">
        <v>144</v>
      </c>
      <c r="C56" t="s">
        <v>323</v>
      </c>
      <c r="D56">
        <v>39.258000000000003</v>
      </c>
      <c r="E56">
        <v>2</v>
      </c>
      <c r="F56">
        <v>144</v>
      </c>
      <c r="G56">
        <v>104.742</v>
      </c>
      <c r="H56" t="b">
        <v>0</v>
      </c>
    </row>
    <row r="57" spans="1:10" x14ac:dyDescent="0.25">
      <c r="A57" t="s">
        <v>166</v>
      </c>
      <c r="B57">
        <v>144</v>
      </c>
      <c r="C57" t="s">
        <v>522</v>
      </c>
      <c r="D57">
        <v>39.258000000000003</v>
      </c>
      <c r="E57">
        <v>2</v>
      </c>
      <c r="F57">
        <v>104.742</v>
      </c>
      <c r="G57">
        <v>65.483999999999995</v>
      </c>
      <c r="H57" t="b">
        <v>0</v>
      </c>
    </row>
    <row r="58" spans="1:10" x14ac:dyDescent="0.25">
      <c r="A58" t="s">
        <v>166</v>
      </c>
      <c r="B58">
        <v>144</v>
      </c>
      <c r="C58" t="s">
        <v>417</v>
      </c>
      <c r="D58">
        <v>37.564999999999998</v>
      </c>
      <c r="E58">
        <v>2</v>
      </c>
      <c r="F58">
        <v>65.483999999999995</v>
      </c>
      <c r="G58">
        <v>27.919</v>
      </c>
      <c r="H58" t="b">
        <v>1</v>
      </c>
      <c r="I58">
        <v>27.919</v>
      </c>
      <c r="J58" t="s">
        <v>187</v>
      </c>
    </row>
    <row r="59" spans="1:10" x14ac:dyDescent="0.25">
      <c r="A59" t="s">
        <v>166</v>
      </c>
      <c r="B59">
        <v>144</v>
      </c>
      <c r="C59" t="s">
        <v>418</v>
      </c>
      <c r="D59">
        <v>37.564999999999998</v>
      </c>
      <c r="E59">
        <v>3</v>
      </c>
      <c r="F59">
        <v>144</v>
      </c>
      <c r="G59">
        <v>106.435</v>
      </c>
      <c r="H59" t="b">
        <v>0</v>
      </c>
    </row>
    <row r="60" spans="1:10" x14ac:dyDescent="0.25">
      <c r="A60" t="s">
        <v>166</v>
      </c>
      <c r="B60">
        <v>144</v>
      </c>
      <c r="C60" t="s">
        <v>419</v>
      </c>
      <c r="D60">
        <v>37.564999999999998</v>
      </c>
      <c r="E60">
        <v>3</v>
      </c>
      <c r="F60">
        <v>106.435</v>
      </c>
      <c r="G60">
        <v>68.87</v>
      </c>
      <c r="H60" t="b">
        <v>0</v>
      </c>
    </row>
    <row r="61" spans="1:10" x14ac:dyDescent="0.25">
      <c r="A61" t="s">
        <v>166</v>
      </c>
      <c r="B61">
        <v>144</v>
      </c>
      <c r="C61" t="s">
        <v>420</v>
      </c>
      <c r="D61">
        <v>37.564999999999998</v>
      </c>
      <c r="E61">
        <v>3</v>
      </c>
      <c r="F61">
        <v>68.87</v>
      </c>
      <c r="G61">
        <v>31.305</v>
      </c>
      <c r="H61" t="b">
        <v>1</v>
      </c>
      <c r="I61">
        <v>31.305</v>
      </c>
      <c r="J61" t="s">
        <v>187</v>
      </c>
    </row>
    <row r="62" spans="1:10" x14ac:dyDescent="0.25">
      <c r="A62" t="s">
        <v>166</v>
      </c>
      <c r="B62">
        <v>144</v>
      </c>
      <c r="C62" t="s">
        <v>372</v>
      </c>
      <c r="D62">
        <v>6.7939999999999996</v>
      </c>
      <c r="E62">
        <v>1</v>
      </c>
      <c r="F62">
        <v>26.225999999999999</v>
      </c>
      <c r="G62">
        <v>19.431999999999999</v>
      </c>
      <c r="H62" t="b">
        <v>0</v>
      </c>
    </row>
    <row r="63" spans="1:10" x14ac:dyDescent="0.25">
      <c r="A63" t="s">
        <v>166</v>
      </c>
      <c r="B63">
        <v>144</v>
      </c>
      <c r="C63" t="s">
        <v>373</v>
      </c>
      <c r="D63">
        <v>6.7939999999999996</v>
      </c>
      <c r="E63">
        <v>1</v>
      </c>
      <c r="F63">
        <v>19.431999999999999</v>
      </c>
      <c r="G63">
        <v>12.638</v>
      </c>
      <c r="H63" t="b">
        <v>0</v>
      </c>
    </row>
    <row r="64" spans="1:10" x14ac:dyDescent="0.25">
      <c r="A64" t="s">
        <v>166</v>
      </c>
      <c r="B64">
        <v>144</v>
      </c>
      <c r="C64" t="s">
        <v>374</v>
      </c>
      <c r="D64">
        <v>6.7939999999999996</v>
      </c>
      <c r="E64">
        <v>1</v>
      </c>
      <c r="F64">
        <v>12.638</v>
      </c>
      <c r="G64">
        <v>5.8440000000000003</v>
      </c>
      <c r="H64" t="b">
        <v>1</v>
      </c>
      <c r="I64">
        <v>5.8440000000000003</v>
      </c>
      <c r="J64" t="s">
        <v>197</v>
      </c>
    </row>
    <row r="65" spans="1:10" x14ac:dyDescent="0.25">
      <c r="A65" t="s">
        <v>167</v>
      </c>
      <c r="B65">
        <v>96</v>
      </c>
      <c r="C65" t="s">
        <v>370</v>
      </c>
      <c r="D65">
        <v>34.868000000000002</v>
      </c>
      <c r="E65">
        <v>1</v>
      </c>
      <c r="F65">
        <v>96</v>
      </c>
      <c r="G65">
        <v>61.131999999999998</v>
      </c>
      <c r="H65" t="b">
        <v>0</v>
      </c>
    </row>
    <row r="66" spans="1:10" x14ac:dyDescent="0.25">
      <c r="A66" t="s">
        <v>167</v>
      </c>
      <c r="B66">
        <v>96</v>
      </c>
      <c r="C66" t="s">
        <v>371</v>
      </c>
      <c r="D66">
        <v>34.868000000000002</v>
      </c>
      <c r="E66">
        <v>1</v>
      </c>
      <c r="F66">
        <v>61.131999999999998</v>
      </c>
      <c r="G66">
        <v>26.263999999999999</v>
      </c>
      <c r="H66" t="b">
        <v>0</v>
      </c>
    </row>
    <row r="67" spans="1:10" x14ac:dyDescent="0.25">
      <c r="A67" t="s">
        <v>167</v>
      </c>
      <c r="B67">
        <v>96</v>
      </c>
      <c r="C67" t="s">
        <v>500</v>
      </c>
      <c r="D67">
        <v>34.868000000000002</v>
      </c>
      <c r="E67">
        <v>2</v>
      </c>
      <c r="F67">
        <v>96</v>
      </c>
      <c r="G67">
        <v>61.131999999999998</v>
      </c>
      <c r="H67" t="b">
        <v>0</v>
      </c>
    </row>
    <row r="68" spans="1:10" x14ac:dyDescent="0.25">
      <c r="A68" t="s">
        <v>167</v>
      </c>
      <c r="B68">
        <v>96</v>
      </c>
      <c r="C68" t="s">
        <v>231</v>
      </c>
      <c r="D68">
        <v>8.3170000000000002</v>
      </c>
      <c r="E68">
        <v>1</v>
      </c>
      <c r="F68">
        <v>26.263999999999999</v>
      </c>
      <c r="G68">
        <v>17.946999999999999</v>
      </c>
      <c r="H68" t="b">
        <v>0</v>
      </c>
    </row>
    <row r="69" spans="1:10" x14ac:dyDescent="0.25">
      <c r="A69" t="s">
        <v>167</v>
      </c>
      <c r="B69">
        <v>96</v>
      </c>
      <c r="C69" t="s">
        <v>232</v>
      </c>
      <c r="D69">
        <v>8.3170000000000002</v>
      </c>
      <c r="E69">
        <v>1</v>
      </c>
      <c r="F69">
        <v>17.946999999999999</v>
      </c>
      <c r="G69">
        <v>9.6300000000000008</v>
      </c>
      <c r="H69" t="b">
        <v>0</v>
      </c>
    </row>
    <row r="70" spans="1:10" x14ac:dyDescent="0.25">
      <c r="A70" t="s">
        <v>167</v>
      </c>
      <c r="B70">
        <v>96</v>
      </c>
      <c r="C70" t="s">
        <v>233</v>
      </c>
      <c r="D70">
        <v>8.3170000000000002</v>
      </c>
      <c r="E70">
        <v>1</v>
      </c>
      <c r="F70">
        <v>9.6300000000000008</v>
      </c>
      <c r="G70">
        <v>1.3129999999999999</v>
      </c>
      <c r="H70" t="b">
        <v>1</v>
      </c>
      <c r="I70">
        <v>1.3129999999999999</v>
      </c>
      <c r="J70" t="s">
        <v>197</v>
      </c>
    </row>
    <row r="71" spans="1:10" x14ac:dyDescent="0.25">
      <c r="A71" t="s">
        <v>167</v>
      </c>
      <c r="B71">
        <v>96</v>
      </c>
      <c r="C71" t="s">
        <v>246</v>
      </c>
      <c r="D71">
        <v>7.4020000000000001</v>
      </c>
      <c r="E71">
        <v>2</v>
      </c>
      <c r="F71">
        <v>61.131999999999998</v>
      </c>
      <c r="G71">
        <v>53.73</v>
      </c>
      <c r="H71" t="b">
        <v>0</v>
      </c>
    </row>
    <row r="72" spans="1:10" x14ac:dyDescent="0.25">
      <c r="A72" t="s">
        <v>167</v>
      </c>
      <c r="B72">
        <v>96</v>
      </c>
      <c r="C72" t="s">
        <v>247</v>
      </c>
      <c r="D72">
        <v>7.4020000000000001</v>
      </c>
      <c r="E72">
        <v>2</v>
      </c>
      <c r="F72">
        <v>53.73</v>
      </c>
      <c r="G72">
        <v>46.328000000000003</v>
      </c>
      <c r="H72" t="b">
        <v>0</v>
      </c>
    </row>
    <row r="73" spans="1:10" x14ac:dyDescent="0.25">
      <c r="A73" t="s">
        <v>167</v>
      </c>
      <c r="B73">
        <v>96</v>
      </c>
      <c r="C73" t="s">
        <v>248</v>
      </c>
      <c r="D73">
        <v>7.4020000000000001</v>
      </c>
      <c r="E73">
        <v>2</v>
      </c>
      <c r="F73">
        <v>46.328000000000003</v>
      </c>
      <c r="G73">
        <v>38.926000000000002</v>
      </c>
      <c r="H73" t="b">
        <v>0</v>
      </c>
    </row>
    <row r="74" spans="1:10" x14ac:dyDescent="0.25">
      <c r="A74" t="s">
        <v>167</v>
      </c>
      <c r="B74">
        <v>96</v>
      </c>
      <c r="C74" t="s">
        <v>249</v>
      </c>
      <c r="D74">
        <v>7.4020000000000001</v>
      </c>
      <c r="E74">
        <v>2</v>
      </c>
      <c r="F74">
        <v>38.926000000000002</v>
      </c>
      <c r="G74">
        <v>31.524000000000001</v>
      </c>
      <c r="H74" t="b">
        <v>1</v>
      </c>
      <c r="I74">
        <v>31.524000000000001</v>
      </c>
      <c r="J74" t="s">
        <v>187</v>
      </c>
    </row>
    <row r="75" spans="1:10" x14ac:dyDescent="0.25">
      <c r="A75" t="s">
        <v>168</v>
      </c>
      <c r="B75">
        <v>144</v>
      </c>
      <c r="C75" t="s">
        <v>435</v>
      </c>
      <c r="D75">
        <v>46.131999999999998</v>
      </c>
      <c r="E75">
        <v>1</v>
      </c>
      <c r="F75">
        <v>144</v>
      </c>
      <c r="G75">
        <v>97.867999999999995</v>
      </c>
      <c r="H75" t="b">
        <v>0</v>
      </c>
    </row>
    <row r="76" spans="1:10" x14ac:dyDescent="0.25">
      <c r="A76" t="s">
        <v>168</v>
      </c>
      <c r="B76">
        <v>144</v>
      </c>
      <c r="C76" t="s">
        <v>436</v>
      </c>
      <c r="D76">
        <v>46.131999999999998</v>
      </c>
      <c r="E76">
        <v>1</v>
      </c>
      <c r="F76">
        <v>97.867999999999995</v>
      </c>
      <c r="G76">
        <v>51.735999999999997</v>
      </c>
      <c r="H76" t="b">
        <v>0</v>
      </c>
    </row>
    <row r="77" spans="1:10" x14ac:dyDescent="0.25">
      <c r="A77" t="s">
        <v>168</v>
      </c>
      <c r="B77">
        <v>144</v>
      </c>
      <c r="C77" t="s">
        <v>337</v>
      </c>
      <c r="D77">
        <v>45.51</v>
      </c>
      <c r="E77">
        <v>1</v>
      </c>
      <c r="F77">
        <v>51.735999999999997</v>
      </c>
      <c r="G77">
        <v>6.226</v>
      </c>
      <c r="H77" t="b">
        <v>1</v>
      </c>
      <c r="I77">
        <v>6.226</v>
      </c>
      <c r="J77" t="s">
        <v>197</v>
      </c>
    </row>
    <row r="78" spans="1:10" x14ac:dyDescent="0.25">
      <c r="A78" t="s">
        <v>168</v>
      </c>
      <c r="B78">
        <v>144</v>
      </c>
      <c r="C78" t="s">
        <v>338</v>
      </c>
      <c r="D78">
        <v>45.51</v>
      </c>
      <c r="E78">
        <v>2</v>
      </c>
      <c r="F78">
        <v>144</v>
      </c>
      <c r="G78">
        <v>98.49</v>
      </c>
      <c r="H78" t="b">
        <v>0</v>
      </c>
    </row>
    <row r="79" spans="1:10" x14ac:dyDescent="0.25">
      <c r="A79" t="s">
        <v>168</v>
      </c>
      <c r="B79">
        <v>144</v>
      </c>
      <c r="C79" t="s">
        <v>339</v>
      </c>
      <c r="D79">
        <v>45.51</v>
      </c>
      <c r="E79">
        <v>2</v>
      </c>
      <c r="F79">
        <v>98.49</v>
      </c>
      <c r="G79">
        <v>52.98</v>
      </c>
      <c r="H79" t="b">
        <v>0</v>
      </c>
    </row>
    <row r="80" spans="1:10" x14ac:dyDescent="0.25">
      <c r="A80" t="s">
        <v>168</v>
      </c>
      <c r="B80">
        <v>144</v>
      </c>
      <c r="C80" t="s">
        <v>299</v>
      </c>
      <c r="D80">
        <v>41.262999999999998</v>
      </c>
      <c r="E80">
        <v>2</v>
      </c>
      <c r="F80">
        <v>52.98</v>
      </c>
      <c r="G80">
        <v>11.717000000000001</v>
      </c>
      <c r="H80" t="b">
        <v>0</v>
      </c>
    </row>
    <row r="81" spans="1:10" x14ac:dyDescent="0.25">
      <c r="A81" t="s">
        <v>168</v>
      </c>
      <c r="B81">
        <v>144</v>
      </c>
      <c r="C81" t="s">
        <v>300</v>
      </c>
      <c r="D81">
        <v>41.262999999999998</v>
      </c>
      <c r="E81">
        <v>3</v>
      </c>
      <c r="F81">
        <v>144</v>
      </c>
      <c r="G81">
        <v>102.73699999999999</v>
      </c>
      <c r="H81" t="b">
        <v>0</v>
      </c>
    </row>
    <row r="82" spans="1:10" x14ac:dyDescent="0.25">
      <c r="A82" t="s">
        <v>168</v>
      </c>
      <c r="B82">
        <v>144</v>
      </c>
      <c r="C82" t="s">
        <v>301</v>
      </c>
      <c r="D82">
        <v>41.262999999999998</v>
      </c>
      <c r="E82">
        <v>3</v>
      </c>
      <c r="F82">
        <v>102.73699999999999</v>
      </c>
      <c r="G82">
        <v>61.473999999999997</v>
      </c>
      <c r="H82" t="b">
        <v>0</v>
      </c>
    </row>
    <row r="83" spans="1:10" x14ac:dyDescent="0.25">
      <c r="A83" t="s">
        <v>168</v>
      </c>
      <c r="B83">
        <v>144</v>
      </c>
      <c r="C83" t="s">
        <v>302</v>
      </c>
      <c r="D83">
        <v>41.262999999999998</v>
      </c>
      <c r="E83">
        <v>3</v>
      </c>
      <c r="F83">
        <v>61.473999999999997</v>
      </c>
      <c r="G83">
        <v>20.210999999999999</v>
      </c>
      <c r="H83" t="b">
        <v>0</v>
      </c>
    </row>
    <row r="84" spans="1:10" x14ac:dyDescent="0.25">
      <c r="A84" t="s">
        <v>168</v>
      </c>
      <c r="B84">
        <v>144</v>
      </c>
      <c r="C84" t="s">
        <v>303</v>
      </c>
      <c r="D84">
        <v>41.262999999999998</v>
      </c>
      <c r="E84">
        <v>4</v>
      </c>
      <c r="F84">
        <v>144</v>
      </c>
      <c r="G84">
        <v>102.73699999999999</v>
      </c>
      <c r="H84" t="b">
        <v>0</v>
      </c>
    </row>
    <row r="85" spans="1:10" x14ac:dyDescent="0.25">
      <c r="A85" t="s">
        <v>168</v>
      </c>
      <c r="B85">
        <v>144</v>
      </c>
      <c r="C85" t="s">
        <v>454</v>
      </c>
      <c r="D85">
        <v>41.262999999999998</v>
      </c>
      <c r="E85">
        <v>4</v>
      </c>
      <c r="F85">
        <v>102.73699999999999</v>
      </c>
      <c r="G85">
        <v>61.473999999999997</v>
      </c>
      <c r="H85" t="b">
        <v>0</v>
      </c>
    </row>
    <row r="86" spans="1:10" x14ac:dyDescent="0.25">
      <c r="A86" t="s">
        <v>168</v>
      </c>
      <c r="B86">
        <v>144</v>
      </c>
      <c r="C86" t="s">
        <v>406</v>
      </c>
      <c r="D86">
        <v>19.803999999999998</v>
      </c>
      <c r="E86">
        <v>3</v>
      </c>
      <c r="F86">
        <v>20.210999999999999</v>
      </c>
      <c r="G86">
        <v>0.40699999999999997</v>
      </c>
      <c r="H86" t="b">
        <v>1</v>
      </c>
      <c r="I86">
        <v>0.40699999999999997</v>
      </c>
      <c r="J86" t="s">
        <v>197</v>
      </c>
    </row>
    <row r="87" spans="1:10" x14ac:dyDescent="0.25">
      <c r="A87" t="s">
        <v>168</v>
      </c>
      <c r="B87">
        <v>144</v>
      </c>
      <c r="C87" t="s">
        <v>407</v>
      </c>
      <c r="D87">
        <v>19.803999999999998</v>
      </c>
      <c r="E87">
        <v>4</v>
      </c>
      <c r="F87">
        <v>61.473999999999997</v>
      </c>
      <c r="G87">
        <v>41.67</v>
      </c>
      <c r="H87" t="b">
        <v>0</v>
      </c>
    </row>
    <row r="88" spans="1:10" x14ac:dyDescent="0.25">
      <c r="A88" t="s">
        <v>168</v>
      </c>
      <c r="B88">
        <v>144</v>
      </c>
      <c r="C88" t="s">
        <v>514</v>
      </c>
      <c r="D88">
        <v>19.803999999999998</v>
      </c>
      <c r="E88">
        <v>4</v>
      </c>
      <c r="F88">
        <v>41.67</v>
      </c>
      <c r="G88">
        <v>21.866</v>
      </c>
      <c r="H88" t="b">
        <v>0</v>
      </c>
    </row>
    <row r="89" spans="1:10" x14ac:dyDescent="0.25">
      <c r="A89" t="s">
        <v>168</v>
      </c>
      <c r="B89">
        <v>144</v>
      </c>
      <c r="C89" t="s">
        <v>515</v>
      </c>
      <c r="D89">
        <v>19.803999999999998</v>
      </c>
      <c r="E89">
        <v>4</v>
      </c>
      <c r="F89">
        <v>21.866</v>
      </c>
      <c r="G89">
        <v>2.0619999999999998</v>
      </c>
      <c r="H89" t="b">
        <v>1</v>
      </c>
      <c r="I89">
        <v>2.0619999999999998</v>
      </c>
      <c r="J89" t="s">
        <v>197</v>
      </c>
    </row>
    <row r="90" spans="1:10" x14ac:dyDescent="0.25">
      <c r="A90" t="s">
        <v>168</v>
      </c>
      <c r="B90">
        <v>144</v>
      </c>
      <c r="C90" t="s">
        <v>516</v>
      </c>
      <c r="D90">
        <v>19.803999999999998</v>
      </c>
      <c r="E90">
        <v>5</v>
      </c>
      <c r="F90">
        <v>144</v>
      </c>
      <c r="G90">
        <v>124.196</v>
      </c>
      <c r="H90" t="b">
        <v>0</v>
      </c>
    </row>
    <row r="91" spans="1:10" x14ac:dyDescent="0.25">
      <c r="A91" t="s">
        <v>168</v>
      </c>
      <c r="B91">
        <v>144</v>
      </c>
      <c r="C91" t="s">
        <v>279</v>
      </c>
      <c r="D91">
        <v>11.132</v>
      </c>
      <c r="E91">
        <v>2</v>
      </c>
      <c r="F91">
        <v>11.717000000000001</v>
      </c>
      <c r="G91">
        <v>0.58499999999999996</v>
      </c>
      <c r="H91" t="b">
        <v>1</v>
      </c>
      <c r="I91">
        <v>0.58499999999999996</v>
      </c>
      <c r="J91" t="s">
        <v>197</v>
      </c>
    </row>
    <row r="92" spans="1:10" x14ac:dyDescent="0.25">
      <c r="A92" t="s">
        <v>168</v>
      </c>
      <c r="B92">
        <v>144</v>
      </c>
      <c r="C92" t="s">
        <v>467</v>
      </c>
      <c r="D92">
        <v>11.132</v>
      </c>
      <c r="E92">
        <v>5</v>
      </c>
      <c r="F92">
        <v>124.196</v>
      </c>
      <c r="G92">
        <v>113.06399999999999</v>
      </c>
      <c r="H92" t="b">
        <v>0</v>
      </c>
    </row>
    <row r="93" spans="1:10" x14ac:dyDescent="0.25">
      <c r="A93" t="s">
        <v>168</v>
      </c>
      <c r="B93">
        <v>144</v>
      </c>
      <c r="C93" t="s">
        <v>468</v>
      </c>
      <c r="D93">
        <v>11.132</v>
      </c>
      <c r="E93">
        <v>5</v>
      </c>
      <c r="F93">
        <v>113.06399999999999</v>
      </c>
      <c r="G93">
        <v>101.932</v>
      </c>
      <c r="H93" t="b">
        <v>0</v>
      </c>
    </row>
    <row r="94" spans="1:10" x14ac:dyDescent="0.25">
      <c r="A94" t="s">
        <v>168</v>
      </c>
      <c r="B94">
        <v>144</v>
      </c>
      <c r="C94" t="s">
        <v>469</v>
      </c>
      <c r="D94">
        <v>11.132</v>
      </c>
      <c r="E94">
        <v>5</v>
      </c>
      <c r="F94">
        <v>101.932</v>
      </c>
      <c r="G94">
        <v>90.8</v>
      </c>
      <c r="H94" t="b">
        <v>0</v>
      </c>
    </row>
    <row r="95" spans="1:10" x14ac:dyDescent="0.25">
      <c r="A95" t="s">
        <v>168</v>
      </c>
      <c r="B95">
        <v>144</v>
      </c>
      <c r="C95" t="s">
        <v>470</v>
      </c>
      <c r="D95">
        <v>11.132</v>
      </c>
      <c r="E95">
        <v>5</v>
      </c>
      <c r="F95">
        <v>90.8</v>
      </c>
      <c r="G95">
        <v>79.668000000000006</v>
      </c>
      <c r="H95" t="b">
        <v>0</v>
      </c>
    </row>
    <row r="96" spans="1:10" x14ac:dyDescent="0.25">
      <c r="A96" t="s">
        <v>168</v>
      </c>
      <c r="B96">
        <v>144</v>
      </c>
      <c r="C96" t="s">
        <v>538</v>
      </c>
      <c r="D96">
        <v>11.132</v>
      </c>
      <c r="E96">
        <v>5</v>
      </c>
      <c r="F96">
        <v>79.668000000000006</v>
      </c>
      <c r="G96">
        <v>68.536000000000001</v>
      </c>
      <c r="H96" t="b">
        <v>1</v>
      </c>
      <c r="I96">
        <v>68.536000000000001</v>
      </c>
      <c r="J96" t="s">
        <v>187</v>
      </c>
    </row>
    <row r="97" spans="1:10" x14ac:dyDescent="0.25">
      <c r="A97" t="s">
        <v>169</v>
      </c>
      <c r="B97">
        <v>96</v>
      </c>
      <c r="C97" t="s">
        <v>295</v>
      </c>
      <c r="D97">
        <v>24.472999999999999</v>
      </c>
      <c r="E97">
        <v>1</v>
      </c>
      <c r="F97">
        <v>96</v>
      </c>
      <c r="G97">
        <v>71.527000000000001</v>
      </c>
      <c r="H97" t="b">
        <v>0</v>
      </c>
    </row>
    <row r="98" spans="1:10" x14ac:dyDescent="0.25">
      <c r="A98" t="s">
        <v>169</v>
      </c>
      <c r="B98">
        <v>96</v>
      </c>
      <c r="C98" t="s">
        <v>296</v>
      </c>
      <c r="D98">
        <v>24.472999999999999</v>
      </c>
      <c r="E98">
        <v>1</v>
      </c>
      <c r="F98">
        <v>71.527000000000001</v>
      </c>
      <c r="G98">
        <v>47.054000000000002</v>
      </c>
      <c r="H98" t="b">
        <v>0</v>
      </c>
    </row>
    <row r="99" spans="1:10" x14ac:dyDescent="0.25">
      <c r="A99" t="s">
        <v>169</v>
      </c>
      <c r="B99">
        <v>96</v>
      </c>
      <c r="C99" t="s">
        <v>297</v>
      </c>
      <c r="D99">
        <v>24.472999999999999</v>
      </c>
      <c r="E99">
        <v>1</v>
      </c>
      <c r="F99">
        <v>47.054000000000002</v>
      </c>
      <c r="G99">
        <v>22.581</v>
      </c>
      <c r="H99" t="b">
        <v>1</v>
      </c>
      <c r="I99">
        <v>22.581</v>
      </c>
      <c r="J99" t="s">
        <v>187</v>
      </c>
    </row>
    <row r="100" spans="1:10" x14ac:dyDescent="0.25">
      <c r="A100" t="s">
        <v>169</v>
      </c>
      <c r="B100">
        <v>96</v>
      </c>
      <c r="C100" t="s">
        <v>490</v>
      </c>
      <c r="D100">
        <v>24.472999999999999</v>
      </c>
      <c r="E100">
        <v>2</v>
      </c>
      <c r="F100">
        <v>96</v>
      </c>
      <c r="G100">
        <v>71.527000000000001</v>
      </c>
      <c r="H100" t="b">
        <v>0</v>
      </c>
    </row>
    <row r="101" spans="1:10" x14ac:dyDescent="0.25">
      <c r="A101" t="s">
        <v>169</v>
      </c>
      <c r="B101">
        <v>96</v>
      </c>
      <c r="C101" t="s">
        <v>491</v>
      </c>
      <c r="D101">
        <v>24.472999999999999</v>
      </c>
      <c r="E101">
        <v>2</v>
      </c>
      <c r="F101">
        <v>71.527000000000001</v>
      </c>
      <c r="G101">
        <v>47.054000000000002</v>
      </c>
      <c r="H101" t="b">
        <v>1</v>
      </c>
      <c r="I101">
        <v>47.054000000000002</v>
      </c>
      <c r="J101" t="s">
        <v>187</v>
      </c>
    </row>
    <row r="102" spans="1:10" x14ac:dyDescent="0.25">
      <c r="A102" t="s">
        <v>170</v>
      </c>
      <c r="B102">
        <v>144</v>
      </c>
      <c r="C102" t="s">
        <v>401</v>
      </c>
      <c r="D102">
        <v>47.201999999999998</v>
      </c>
      <c r="E102">
        <v>1</v>
      </c>
      <c r="F102">
        <v>144</v>
      </c>
      <c r="G102">
        <v>96.798000000000002</v>
      </c>
      <c r="H102" t="b">
        <v>0</v>
      </c>
    </row>
    <row r="103" spans="1:10" x14ac:dyDescent="0.25">
      <c r="A103" t="s">
        <v>170</v>
      </c>
      <c r="B103">
        <v>144</v>
      </c>
      <c r="C103" t="s">
        <v>402</v>
      </c>
      <c r="D103">
        <v>47.201999999999998</v>
      </c>
      <c r="E103">
        <v>1</v>
      </c>
      <c r="F103">
        <v>96.798000000000002</v>
      </c>
      <c r="G103">
        <v>49.595999999999997</v>
      </c>
      <c r="H103" t="b">
        <v>0</v>
      </c>
    </row>
    <row r="104" spans="1:10" x14ac:dyDescent="0.25">
      <c r="A104" t="s">
        <v>170</v>
      </c>
      <c r="B104">
        <v>144</v>
      </c>
      <c r="C104" t="s">
        <v>403</v>
      </c>
      <c r="D104">
        <v>47.201999999999998</v>
      </c>
      <c r="E104">
        <v>1</v>
      </c>
      <c r="F104">
        <v>49.595999999999997</v>
      </c>
      <c r="G104">
        <v>2.3940000000000001</v>
      </c>
      <c r="H104" t="b">
        <v>1</v>
      </c>
      <c r="I104">
        <v>2.3940000000000001</v>
      </c>
      <c r="J104" t="s">
        <v>197</v>
      </c>
    </row>
    <row r="105" spans="1:10" x14ac:dyDescent="0.25">
      <c r="A105" t="s">
        <v>170</v>
      </c>
      <c r="B105">
        <v>144</v>
      </c>
      <c r="C105" t="s">
        <v>404</v>
      </c>
      <c r="D105">
        <v>47.201999999999998</v>
      </c>
      <c r="E105">
        <v>2</v>
      </c>
      <c r="F105">
        <v>144</v>
      </c>
      <c r="G105">
        <v>96.798000000000002</v>
      </c>
      <c r="H105" t="b">
        <v>0</v>
      </c>
    </row>
    <row r="106" spans="1:10" x14ac:dyDescent="0.25">
      <c r="A106" t="s">
        <v>170</v>
      </c>
      <c r="B106">
        <v>144</v>
      </c>
      <c r="C106" t="s">
        <v>366</v>
      </c>
      <c r="D106">
        <v>37.68</v>
      </c>
      <c r="E106">
        <v>2</v>
      </c>
      <c r="F106">
        <v>96.798000000000002</v>
      </c>
      <c r="G106">
        <v>59.118000000000002</v>
      </c>
      <c r="H106" t="b">
        <v>0</v>
      </c>
    </row>
    <row r="107" spans="1:10" x14ac:dyDescent="0.25">
      <c r="A107" t="s">
        <v>170</v>
      </c>
      <c r="B107">
        <v>144</v>
      </c>
      <c r="C107" t="s">
        <v>367</v>
      </c>
      <c r="D107">
        <v>37.68</v>
      </c>
      <c r="E107">
        <v>2</v>
      </c>
      <c r="F107">
        <v>59.118000000000002</v>
      </c>
      <c r="G107">
        <v>21.437999999999999</v>
      </c>
      <c r="H107" t="b">
        <v>0</v>
      </c>
    </row>
    <row r="108" spans="1:10" x14ac:dyDescent="0.25">
      <c r="A108" t="s">
        <v>170</v>
      </c>
      <c r="B108">
        <v>144</v>
      </c>
      <c r="C108" t="s">
        <v>368</v>
      </c>
      <c r="D108">
        <v>37.68</v>
      </c>
      <c r="E108">
        <v>3</v>
      </c>
      <c r="F108">
        <v>144</v>
      </c>
      <c r="G108">
        <v>106.32</v>
      </c>
      <c r="H108" t="b">
        <v>0</v>
      </c>
    </row>
    <row r="109" spans="1:10" x14ac:dyDescent="0.25">
      <c r="A109" t="s">
        <v>170</v>
      </c>
      <c r="B109">
        <v>144</v>
      </c>
      <c r="C109" t="s">
        <v>450</v>
      </c>
      <c r="D109">
        <v>37.68</v>
      </c>
      <c r="E109">
        <v>3</v>
      </c>
      <c r="F109">
        <v>106.32</v>
      </c>
      <c r="G109">
        <v>68.64</v>
      </c>
      <c r="H109" t="b">
        <v>0</v>
      </c>
    </row>
    <row r="110" spans="1:10" x14ac:dyDescent="0.25">
      <c r="A110" t="s">
        <v>170</v>
      </c>
      <c r="B110">
        <v>144</v>
      </c>
      <c r="C110" t="s">
        <v>451</v>
      </c>
      <c r="D110">
        <v>37.68</v>
      </c>
      <c r="E110">
        <v>3</v>
      </c>
      <c r="F110">
        <v>68.64</v>
      </c>
      <c r="G110">
        <v>30.96</v>
      </c>
      <c r="H110" t="b">
        <v>0</v>
      </c>
    </row>
    <row r="111" spans="1:10" x14ac:dyDescent="0.25">
      <c r="A111" t="s">
        <v>170</v>
      </c>
      <c r="B111">
        <v>144</v>
      </c>
      <c r="C111" t="s">
        <v>283</v>
      </c>
      <c r="D111">
        <v>28.353000000000002</v>
      </c>
      <c r="E111">
        <v>3</v>
      </c>
      <c r="F111">
        <v>30.96</v>
      </c>
      <c r="G111">
        <v>2.6070000000000002</v>
      </c>
      <c r="H111" t="b">
        <v>1</v>
      </c>
      <c r="I111">
        <v>2.6070000000000002</v>
      </c>
      <c r="J111" t="s">
        <v>197</v>
      </c>
    </row>
    <row r="112" spans="1:10" x14ac:dyDescent="0.25">
      <c r="A112" t="s">
        <v>170</v>
      </c>
      <c r="B112">
        <v>144</v>
      </c>
      <c r="C112" t="s">
        <v>414</v>
      </c>
      <c r="D112">
        <v>25.372</v>
      </c>
      <c r="E112">
        <v>4</v>
      </c>
      <c r="F112">
        <v>144</v>
      </c>
      <c r="G112">
        <v>118.628</v>
      </c>
      <c r="H112" t="b">
        <v>0</v>
      </c>
    </row>
    <row r="113" spans="1:10" x14ac:dyDescent="0.25">
      <c r="A113" t="s">
        <v>170</v>
      </c>
      <c r="B113">
        <v>144</v>
      </c>
      <c r="C113" t="s">
        <v>415</v>
      </c>
      <c r="D113">
        <v>25.372</v>
      </c>
      <c r="E113">
        <v>4</v>
      </c>
      <c r="F113">
        <v>118.628</v>
      </c>
      <c r="G113">
        <v>93.256</v>
      </c>
      <c r="H113" t="b">
        <v>1</v>
      </c>
      <c r="I113">
        <v>93.256</v>
      </c>
      <c r="J113" t="s">
        <v>187</v>
      </c>
    </row>
    <row r="114" spans="1:10" x14ac:dyDescent="0.25">
      <c r="A114" t="s">
        <v>170</v>
      </c>
      <c r="B114">
        <v>144</v>
      </c>
      <c r="C114" t="s">
        <v>198</v>
      </c>
      <c r="D114">
        <v>2.923</v>
      </c>
      <c r="E114">
        <v>2</v>
      </c>
      <c r="F114">
        <v>21.437999999999999</v>
      </c>
      <c r="G114">
        <v>18.515000000000001</v>
      </c>
      <c r="H114" t="b">
        <v>0</v>
      </c>
    </row>
    <row r="115" spans="1:10" x14ac:dyDescent="0.25">
      <c r="A115" t="s">
        <v>170</v>
      </c>
      <c r="B115">
        <v>144</v>
      </c>
      <c r="C115" t="s">
        <v>199</v>
      </c>
      <c r="D115">
        <v>2.923</v>
      </c>
      <c r="E115">
        <v>2</v>
      </c>
      <c r="F115">
        <v>18.515000000000001</v>
      </c>
      <c r="G115">
        <v>15.592000000000001</v>
      </c>
      <c r="H115" t="b">
        <v>0</v>
      </c>
    </row>
    <row r="116" spans="1:10" x14ac:dyDescent="0.25">
      <c r="A116" t="s">
        <v>170</v>
      </c>
      <c r="B116">
        <v>144</v>
      </c>
      <c r="C116" t="s">
        <v>200</v>
      </c>
      <c r="D116">
        <v>2.923</v>
      </c>
      <c r="E116">
        <v>2</v>
      </c>
      <c r="F116">
        <v>15.592000000000001</v>
      </c>
      <c r="G116">
        <v>12.669</v>
      </c>
      <c r="H116" t="b">
        <v>0</v>
      </c>
    </row>
    <row r="117" spans="1:10" x14ac:dyDescent="0.25">
      <c r="A117" t="s">
        <v>170</v>
      </c>
      <c r="B117">
        <v>144</v>
      </c>
      <c r="C117" t="s">
        <v>488</v>
      </c>
      <c r="D117">
        <v>2.923</v>
      </c>
      <c r="E117">
        <v>2</v>
      </c>
      <c r="F117">
        <v>12.669</v>
      </c>
      <c r="G117">
        <v>9.7460000000000004</v>
      </c>
      <c r="H117" t="b">
        <v>1</v>
      </c>
      <c r="I117">
        <v>9.7460000000000004</v>
      </c>
      <c r="J117" t="s">
        <v>197</v>
      </c>
    </row>
    <row r="118" spans="1:10" x14ac:dyDescent="0.25">
      <c r="A118" t="s">
        <v>171</v>
      </c>
      <c r="B118">
        <v>96</v>
      </c>
      <c r="C118" t="s">
        <v>184</v>
      </c>
      <c r="D118">
        <v>47.066000000000003</v>
      </c>
      <c r="E118">
        <v>1</v>
      </c>
      <c r="F118">
        <v>96</v>
      </c>
      <c r="G118">
        <v>48.933999999999997</v>
      </c>
      <c r="H118" t="b">
        <v>0</v>
      </c>
    </row>
    <row r="119" spans="1:10" x14ac:dyDescent="0.25">
      <c r="A119" t="s">
        <v>171</v>
      </c>
      <c r="B119">
        <v>96</v>
      </c>
      <c r="C119" t="s">
        <v>472</v>
      </c>
      <c r="D119">
        <v>47.066000000000003</v>
      </c>
      <c r="E119">
        <v>1</v>
      </c>
      <c r="F119">
        <v>48.933999999999997</v>
      </c>
      <c r="G119">
        <v>1.8680000000000001</v>
      </c>
      <c r="H119" t="b">
        <v>1</v>
      </c>
      <c r="I119">
        <v>1.8680000000000001</v>
      </c>
      <c r="J119" t="s">
        <v>197</v>
      </c>
    </row>
    <row r="120" spans="1:10" x14ac:dyDescent="0.25">
      <c r="A120" t="s">
        <v>171</v>
      </c>
      <c r="B120">
        <v>96</v>
      </c>
      <c r="C120" t="s">
        <v>473</v>
      </c>
      <c r="D120">
        <v>47.066000000000003</v>
      </c>
      <c r="E120">
        <v>2</v>
      </c>
      <c r="F120">
        <v>96</v>
      </c>
      <c r="G120">
        <v>48.933999999999997</v>
      </c>
      <c r="H120" t="b">
        <v>0</v>
      </c>
    </row>
    <row r="121" spans="1:10" x14ac:dyDescent="0.25">
      <c r="A121" t="s">
        <v>171</v>
      </c>
      <c r="B121">
        <v>96</v>
      </c>
      <c r="C121" t="s">
        <v>474</v>
      </c>
      <c r="D121">
        <v>47.066000000000003</v>
      </c>
      <c r="E121">
        <v>2</v>
      </c>
      <c r="F121">
        <v>48.933999999999997</v>
      </c>
      <c r="G121">
        <v>1.8680000000000001</v>
      </c>
      <c r="H121" t="b">
        <v>1</v>
      </c>
      <c r="I121">
        <v>1.8680000000000001</v>
      </c>
      <c r="J121" t="s">
        <v>197</v>
      </c>
    </row>
    <row r="122" spans="1:10" x14ac:dyDescent="0.25">
      <c r="A122" t="s">
        <v>171</v>
      </c>
      <c r="B122">
        <v>96</v>
      </c>
      <c r="C122" t="s">
        <v>475</v>
      </c>
      <c r="D122">
        <v>47.066000000000003</v>
      </c>
      <c r="E122">
        <v>3</v>
      </c>
      <c r="F122">
        <v>96</v>
      </c>
      <c r="G122">
        <v>48.933999999999997</v>
      </c>
      <c r="H122" t="b">
        <v>0</v>
      </c>
    </row>
    <row r="123" spans="1:10" x14ac:dyDescent="0.25">
      <c r="A123" t="s">
        <v>171</v>
      </c>
      <c r="B123">
        <v>96</v>
      </c>
      <c r="C123" t="s">
        <v>539</v>
      </c>
      <c r="D123">
        <v>47.066000000000003</v>
      </c>
      <c r="E123">
        <v>3</v>
      </c>
      <c r="F123">
        <v>48.933999999999997</v>
      </c>
      <c r="G123">
        <v>1.8680000000000001</v>
      </c>
      <c r="H123" t="b">
        <v>1</v>
      </c>
      <c r="I123">
        <v>1.8680000000000001</v>
      </c>
      <c r="J123" t="s">
        <v>197</v>
      </c>
    </row>
    <row r="124" spans="1:10" x14ac:dyDescent="0.25">
      <c r="A124" t="s">
        <v>171</v>
      </c>
      <c r="B124">
        <v>96</v>
      </c>
      <c r="C124" t="s">
        <v>274</v>
      </c>
      <c r="D124">
        <v>38.81</v>
      </c>
      <c r="E124">
        <v>4</v>
      </c>
      <c r="F124">
        <v>96</v>
      </c>
      <c r="G124">
        <v>57.19</v>
      </c>
      <c r="H124" t="b">
        <v>0</v>
      </c>
    </row>
    <row r="125" spans="1:10" x14ac:dyDescent="0.25">
      <c r="A125" t="s">
        <v>171</v>
      </c>
      <c r="B125">
        <v>96</v>
      </c>
      <c r="C125" t="s">
        <v>437</v>
      </c>
      <c r="D125">
        <v>23.939</v>
      </c>
      <c r="E125">
        <v>4</v>
      </c>
      <c r="F125">
        <v>57.19</v>
      </c>
      <c r="G125">
        <v>33.250999999999998</v>
      </c>
      <c r="H125" t="b">
        <v>0</v>
      </c>
    </row>
    <row r="126" spans="1:10" x14ac:dyDescent="0.25">
      <c r="A126" t="s">
        <v>171</v>
      </c>
      <c r="B126">
        <v>96</v>
      </c>
      <c r="C126" t="s">
        <v>438</v>
      </c>
      <c r="D126">
        <v>23.939</v>
      </c>
      <c r="E126">
        <v>4</v>
      </c>
      <c r="F126">
        <v>33.250999999999998</v>
      </c>
      <c r="G126">
        <v>9.3119999999999994</v>
      </c>
      <c r="H126" t="b">
        <v>1</v>
      </c>
      <c r="I126">
        <v>9.3119999999999994</v>
      </c>
      <c r="J126" t="s">
        <v>197</v>
      </c>
    </row>
    <row r="127" spans="1:10" x14ac:dyDescent="0.25">
      <c r="A127" t="s">
        <v>171</v>
      </c>
      <c r="B127">
        <v>96</v>
      </c>
      <c r="C127" t="s">
        <v>229</v>
      </c>
      <c r="D127">
        <v>12.433</v>
      </c>
      <c r="E127">
        <v>5</v>
      </c>
      <c r="F127">
        <v>96</v>
      </c>
      <c r="G127">
        <v>83.566999999999993</v>
      </c>
      <c r="H127" t="b">
        <v>0</v>
      </c>
    </row>
    <row r="128" spans="1:10" x14ac:dyDescent="0.25">
      <c r="A128" t="s">
        <v>171</v>
      </c>
      <c r="B128">
        <v>96</v>
      </c>
      <c r="C128" t="s">
        <v>230</v>
      </c>
      <c r="D128">
        <v>12.433</v>
      </c>
      <c r="E128">
        <v>5</v>
      </c>
      <c r="F128">
        <v>83.566999999999993</v>
      </c>
      <c r="G128">
        <v>71.134</v>
      </c>
      <c r="H128" t="b">
        <v>1</v>
      </c>
      <c r="I128">
        <v>71.134</v>
      </c>
      <c r="J128" t="s">
        <v>187</v>
      </c>
    </row>
    <row r="129" spans="1:10" x14ac:dyDescent="0.25">
      <c r="A129" t="s">
        <v>172</v>
      </c>
      <c r="B129">
        <v>144</v>
      </c>
      <c r="C129" t="s">
        <v>304</v>
      </c>
      <c r="D129">
        <v>46.531999999999996</v>
      </c>
      <c r="E129">
        <v>1</v>
      </c>
      <c r="F129">
        <v>144</v>
      </c>
      <c r="G129">
        <v>97.468000000000004</v>
      </c>
      <c r="H129" t="b">
        <v>0</v>
      </c>
    </row>
    <row r="130" spans="1:10" x14ac:dyDescent="0.25">
      <c r="A130" t="s">
        <v>172</v>
      </c>
      <c r="B130">
        <v>144</v>
      </c>
      <c r="C130" t="s">
        <v>305</v>
      </c>
      <c r="D130">
        <v>46.531999999999996</v>
      </c>
      <c r="E130">
        <v>1</v>
      </c>
      <c r="F130">
        <v>97.468000000000004</v>
      </c>
      <c r="G130">
        <v>50.936</v>
      </c>
      <c r="H130" t="b">
        <v>0</v>
      </c>
    </row>
    <row r="131" spans="1:10" x14ac:dyDescent="0.25">
      <c r="A131" t="s">
        <v>172</v>
      </c>
      <c r="B131">
        <v>144</v>
      </c>
      <c r="C131" t="s">
        <v>306</v>
      </c>
      <c r="D131">
        <v>46.531999999999996</v>
      </c>
      <c r="E131">
        <v>1</v>
      </c>
      <c r="F131">
        <v>50.936</v>
      </c>
      <c r="G131">
        <v>4.4039999999999999</v>
      </c>
      <c r="H131" t="b">
        <v>0</v>
      </c>
    </row>
    <row r="132" spans="1:10" x14ac:dyDescent="0.25">
      <c r="A132" t="s">
        <v>172</v>
      </c>
      <c r="B132">
        <v>144</v>
      </c>
      <c r="C132" t="s">
        <v>307</v>
      </c>
      <c r="D132">
        <v>46.531999999999996</v>
      </c>
      <c r="E132">
        <v>2</v>
      </c>
      <c r="F132">
        <v>144</v>
      </c>
      <c r="G132">
        <v>97.468000000000004</v>
      </c>
      <c r="H132" t="b">
        <v>0</v>
      </c>
    </row>
    <row r="133" spans="1:10" x14ac:dyDescent="0.25">
      <c r="A133" t="s">
        <v>172</v>
      </c>
      <c r="B133">
        <v>144</v>
      </c>
      <c r="C133" t="s">
        <v>308</v>
      </c>
      <c r="D133">
        <v>46.531999999999996</v>
      </c>
      <c r="E133">
        <v>2</v>
      </c>
      <c r="F133">
        <v>97.468000000000004</v>
      </c>
      <c r="G133">
        <v>50.936</v>
      </c>
      <c r="H133" t="b">
        <v>0</v>
      </c>
    </row>
    <row r="134" spans="1:10" x14ac:dyDescent="0.25">
      <c r="A134" t="s">
        <v>172</v>
      </c>
      <c r="B134">
        <v>144</v>
      </c>
      <c r="C134" t="s">
        <v>381</v>
      </c>
      <c r="D134">
        <v>29.132000000000001</v>
      </c>
      <c r="E134">
        <v>2</v>
      </c>
      <c r="F134">
        <v>50.936</v>
      </c>
      <c r="G134">
        <v>21.803999999999998</v>
      </c>
      <c r="H134" t="b">
        <v>0</v>
      </c>
    </row>
    <row r="135" spans="1:10" x14ac:dyDescent="0.25">
      <c r="A135" t="s">
        <v>172</v>
      </c>
      <c r="B135">
        <v>144</v>
      </c>
      <c r="C135" t="s">
        <v>382</v>
      </c>
      <c r="D135">
        <v>29.132000000000001</v>
      </c>
      <c r="E135">
        <v>3</v>
      </c>
      <c r="F135">
        <v>144</v>
      </c>
      <c r="G135">
        <v>114.86799999999999</v>
      </c>
      <c r="H135" t="b">
        <v>0</v>
      </c>
    </row>
    <row r="136" spans="1:10" x14ac:dyDescent="0.25">
      <c r="A136" t="s">
        <v>172</v>
      </c>
      <c r="B136">
        <v>144</v>
      </c>
      <c r="C136" t="s">
        <v>383</v>
      </c>
      <c r="D136">
        <v>29.132000000000001</v>
      </c>
      <c r="E136">
        <v>3</v>
      </c>
      <c r="F136">
        <v>114.86799999999999</v>
      </c>
      <c r="G136">
        <v>85.736000000000004</v>
      </c>
      <c r="H136" t="b">
        <v>0</v>
      </c>
    </row>
    <row r="137" spans="1:10" x14ac:dyDescent="0.25">
      <c r="A137" t="s">
        <v>172</v>
      </c>
      <c r="B137">
        <v>144</v>
      </c>
      <c r="C137" t="s">
        <v>384</v>
      </c>
      <c r="D137">
        <v>29.132000000000001</v>
      </c>
      <c r="E137">
        <v>3</v>
      </c>
      <c r="F137">
        <v>85.736000000000004</v>
      </c>
      <c r="G137">
        <v>56.603999999999999</v>
      </c>
      <c r="H137" t="b">
        <v>0</v>
      </c>
    </row>
    <row r="138" spans="1:10" x14ac:dyDescent="0.25">
      <c r="A138" t="s">
        <v>172</v>
      </c>
      <c r="B138">
        <v>144</v>
      </c>
      <c r="C138" t="s">
        <v>449</v>
      </c>
      <c r="D138">
        <v>29.132000000000001</v>
      </c>
      <c r="E138">
        <v>3</v>
      </c>
      <c r="F138">
        <v>56.603999999999999</v>
      </c>
      <c r="G138">
        <v>27.472000000000001</v>
      </c>
      <c r="H138" t="b">
        <v>0</v>
      </c>
    </row>
    <row r="139" spans="1:10" x14ac:dyDescent="0.25">
      <c r="A139" t="s">
        <v>172</v>
      </c>
      <c r="B139">
        <v>144</v>
      </c>
      <c r="C139" t="s">
        <v>309</v>
      </c>
      <c r="D139">
        <v>11.577999999999999</v>
      </c>
      <c r="E139">
        <v>2</v>
      </c>
      <c r="F139">
        <v>21.803999999999998</v>
      </c>
      <c r="G139">
        <v>10.226000000000001</v>
      </c>
      <c r="H139" t="b">
        <v>0</v>
      </c>
    </row>
    <row r="140" spans="1:10" x14ac:dyDescent="0.25">
      <c r="A140" t="s">
        <v>172</v>
      </c>
      <c r="B140">
        <v>144</v>
      </c>
      <c r="C140" t="s">
        <v>310</v>
      </c>
      <c r="D140">
        <v>11.577999999999999</v>
      </c>
      <c r="E140">
        <v>3</v>
      </c>
      <c r="F140">
        <v>27.472000000000001</v>
      </c>
      <c r="G140">
        <v>15.894</v>
      </c>
      <c r="H140" t="b">
        <v>0</v>
      </c>
    </row>
    <row r="141" spans="1:10" x14ac:dyDescent="0.25">
      <c r="A141" t="s">
        <v>172</v>
      </c>
      <c r="B141">
        <v>144</v>
      </c>
      <c r="C141" t="s">
        <v>430</v>
      </c>
      <c r="D141">
        <v>9.7159999999999993</v>
      </c>
      <c r="E141">
        <v>2</v>
      </c>
      <c r="F141">
        <v>10.226000000000001</v>
      </c>
      <c r="G141">
        <v>0.51</v>
      </c>
      <c r="H141" t="b">
        <v>1</v>
      </c>
      <c r="I141">
        <v>0.51</v>
      </c>
      <c r="J141" t="s">
        <v>197</v>
      </c>
    </row>
    <row r="142" spans="1:10" x14ac:dyDescent="0.25">
      <c r="A142" t="s">
        <v>172</v>
      </c>
      <c r="B142">
        <v>144</v>
      </c>
      <c r="C142" t="s">
        <v>431</v>
      </c>
      <c r="D142">
        <v>9.7159999999999993</v>
      </c>
      <c r="E142">
        <v>3</v>
      </c>
      <c r="F142">
        <v>15.894</v>
      </c>
      <c r="G142">
        <v>6.1779999999999999</v>
      </c>
      <c r="H142" t="b">
        <v>0</v>
      </c>
    </row>
    <row r="143" spans="1:10" x14ac:dyDescent="0.25">
      <c r="A143" t="s">
        <v>172</v>
      </c>
      <c r="B143">
        <v>144</v>
      </c>
      <c r="C143" t="s">
        <v>432</v>
      </c>
      <c r="D143">
        <v>9.7159999999999993</v>
      </c>
      <c r="E143">
        <v>4</v>
      </c>
      <c r="F143">
        <v>144</v>
      </c>
      <c r="G143">
        <v>134.28399999999999</v>
      </c>
      <c r="H143" t="b">
        <v>0</v>
      </c>
    </row>
    <row r="144" spans="1:10" x14ac:dyDescent="0.25">
      <c r="A144" t="s">
        <v>172</v>
      </c>
      <c r="B144">
        <v>144</v>
      </c>
      <c r="C144" t="s">
        <v>433</v>
      </c>
      <c r="D144">
        <v>9.7159999999999993</v>
      </c>
      <c r="E144">
        <v>4</v>
      </c>
      <c r="F144">
        <v>134.28399999999999</v>
      </c>
      <c r="G144">
        <v>124.568</v>
      </c>
      <c r="H144" t="b">
        <v>0</v>
      </c>
    </row>
    <row r="145" spans="1:10" x14ac:dyDescent="0.25">
      <c r="A145" t="s">
        <v>172</v>
      </c>
      <c r="B145">
        <v>144</v>
      </c>
      <c r="C145" t="s">
        <v>434</v>
      </c>
      <c r="D145">
        <v>9.7159999999999993</v>
      </c>
      <c r="E145">
        <v>4</v>
      </c>
      <c r="F145">
        <v>124.568</v>
      </c>
      <c r="G145">
        <v>114.852</v>
      </c>
      <c r="H145" t="b">
        <v>0</v>
      </c>
    </row>
    <row r="146" spans="1:10" x14ac:dyDescent="0.25">
      <c r="A146" t="s">
        <v>172</v>
      </c>
      <c r="B146">
        <v>144</v>
      </c>
      <c r="C146" t="s">
        <v>224</v>
      </c>
      <c r="D146">
        <v>5.4370000000000003</v>
      </c>
      <c r="E146">
        <v>3</v>
      </c>
      <c r="F146">
        <v>6.1779999999999999</v>
      </c>
      <c r="G146">
        <v>0.74099999999999999</v>
      </c>
      <c r="H146" t="b">
        <v>1</v>
      </c>
      <c r="I146">
        <v>0.74099999999999999</v>
      </c>
      <c r="J146" t="s">
        <v>197</v>
      </c>
    </row>
    <row r="147" spans="1:10" x14ac:dyDescent="0.25">
      <c r="A147" t="s">
        <v>172</v>
      </c>
      <c r="B147">
        <v>144</v>
      </c>
      <c r="C147" t="s">
        <v>498</v>
      </c>
      <c r="D147">
        <v>5.4370000000000003</v>
      </c>
      <c r="E147">
        <v>4</v>
      </c>
      <c r="F147">
        <v>114.852</v>
      </c>
      <c r="G147">
        <v>109.41500000000001</v>
      </c>
      <c r="H147" t="b">
        <v>0</v>
      </c>
    </row>
    <row r="148" spans="1:10" x14ac:dyDescent="0.25">
      <c r="A148" t="s">
        <v>172</v>
      </c>
      <c r="B148">
        <v>144</v>
      </c>
      <c r="C148" t="s">
        <v>499</v>
      </c>
      <c r="D148">
        <v>5.4370000000000003</v>
      </c>
      <c r="E148">
        <v>4</v>
      </c>
      <c r="F148">
        <v>109.41500000000001</v>
      </c>
      <c r="G148">
        <v>103.97799999999999</v>
      </c>
      <c r="H148" t="b">
        <v>0</v>
      </c>
    </row>
    <row r="149" spans="1:10" x14ac:dyDescent="0.25">
      <c r="A149" t="s">
        <v>172</v>
      </c>
      <c r="B149">
        <v>144</v>
      </c>
      <c r="C149" t="s">
        <v>193</v>
      </c>
      <c r="D149">
        <v>3.8340000000000001</v>
      </c>
      <c r="E149">
        <v>1</v>
      </c>
      <c r="F149">
        <v>4.4039999999999999</v>
      </c>
      <c r="G149">
        <v>0.56999999999999995</v>
      </c>
      <c r="H149" t="b">
        <v>1</v>
      </c>
      <c r="I149">
        <v>0.56999999999999995</v>
      </c>
      <c r="J149" t="s">
        <v>197</v>
      </c>
    </row>
    <row r="150" spans="1:10" x14ac:dyDescent="0.25">
      <c r="A150" t="s">
        <v>172</v>
      </c>
      <c r="B150">
        <v>144</v>
      </c>
      <c r="C150" t="s">
        <v>506</v>
      </c>
      <c r="D150">
        <v>3.8340000000000001</v>
      </c>
      <c r="E150">
        <v>4</v>
      </c>
      <c r="F150">
        <v>103.97799999999999</v>
      </c>
      <c r="G150">
        <v>100.14400000000001</v>
      </c>
      <c r="H150" t="b">
        <v>1</v>
      </c>
      <c r="I150">
        <v>100.14400000000001</v>
      </c>
      <c r="J150" t="s">
        <v>187</v>
      </c>
    </row>
    <row r="151" spans="1:10" x14ac:dyDescent="0.25">
      <c r="A151" t="s">
        <v>173</v>
      </c>
      <c r="B151">
        <v>96</v>
      </c>
      <c r="C151" t="s">
        <v>275</v>
      </c>
      <c r="D151">
        <v>41.039000000000001</v>
      </c>
      <c r="E151">
        <v>1</v>
      </c>
      <c r="F151">
        <v>96</v>
      </c>
      <c r="G151">
        <v>54.960999999999999</v>
      </c>
      <c r="H151" t="b">
        <v>0</v>
      </c>
    </row>
    <row r="152" spans="1:10" x14ac:dyDescent="0.25">
      <c r="A152" t="s">
        <v>173</v>
      </c>
      <c r="B152">
        <v>96</v>
      </c>
      <c r="C152" t="s">
        <v>481</v>
      </c>
      <c r="D152">
        <v>41.039000000000001</v>
      </c>
      <c r="E152">
        <v>1</v>
      </c>
      <c r="F152">
        <v>54.960999999999999</v>
      </c>
      <c r="G152">
        <v>13.922000000000001</v>
      </c>
      <c r="H152" t="b">
        <v>0</v>
      </c>
    </row>
    <row r="153" spans="1:10" x14ac:dyDescent="0.25">
      <c r="A153" t="s">
        <v>173</v>
      </c>
      <c r="B153">
        <v>96</v>
      </c>
      <c r="C153" t="s">
        <v>482</v>
      </c>
      <c r="D153">
        <v>41.039000000000001</v>
      </c>
      <c r="E153">
        <v>2</v>
      </c>
      <c r="F153">
        <v>96</v>
      </c>
      <c r="G153">
        <v>54.960999999999999</v>
      </c>
      <c r="H153" t="b">
        <v>0</v>
      </c>
    </row>
    <row r="154" spans="1:10" x14ac:dyDescent="0.25">
      <c r="A154" t="s">
        <v>173</v>
      </c>
      <c r="B154">
        <v>96</v>
      </c>
      <c r="C154" t="s">
        <v>483</v>
      </c>
      <c r="D154">
        <v>41.039000000000001</v>
      </c>
      <c r="E154">
        <v>2</v>
      </c>
      <c r="F154">
        <v>54.960999999999999</v>
      </c>
      <c r="G154">
        <v>13.922000000000001</v>
      </c>
      <c r="H154" t="b">
        <v>0</v>
      </c>
    </row>
    <row r="155" spans="1:10" x14ac:dyDescent="0.25">
      <c r="A155" t="s">
        <v>173</v>
      </c>
      <c r="B155">
        <v>96</v>
      </c>
      <c r="C155" t="s">
        <v>484</v>
      </c>
      <c r="D155">
        <v>41.039000000000001</v>
      </c>
      <c r="E155">
        <v>3</v>
      </c>
      <c r="F155">
        <v>96</v>
      </c>
      <c r="G155">
        <v>54.960999999999999</v>
      </c>
      <c r="H155" t="b">
        <v>0</v>
      </c>
    </row>
    <row r="156" spans="1:10" x14ac:dyDescent="0.25">
      <c r="A156" t="s">
        <v>173</v>
      </c>
      <c r="B156">
        <v>96</v>
      </c>
      <c r="C156" t="s">
        <v>343</v>
      </c>
      <c r="D156">
        <v>36.165999999999997</v>
      </c>
      <c r="E156">
        <v>3</v>
      </c>
      <c r="F156">
        <v>54.960999999999999</v>
      </c>
      <c r="G156">
        <v>18.795000000000002</v>
      </c>
      <c r="H156" t="b">
        <v>0</v>
      </c>
    </row>
    <row r="157" spans="1:10" x14ac:dyDescent="0.25">
      <c r="A157" t="s">
        <v>173</v>
      </c>
      <c r="B157">
        <v>96</v>
      </c>
      <c r="C157" t="s">
        <v>344</v>
      </c>
      <c r="D157">
        <v>36.165999999999997</v>
      </c>
      <c r="E157">
        <v>4</v>
      </c>
      <c r="F157">
        <v>96</v>
      </c>
      <c r="G157">
        <v>59.834000000000003</v>
      </c>
      <c r="H157" t="b">
        <v>0</v>
      </c>
    </row>
    <row r="158" spans="1:10" x14ac:dyDescent="0.25">
      <c r="A158" t="s">
        <v>173</v>
      </c>
      <c r="B158">
        <v>96</v>
      </c>
      <c r="C158" t="s">
        <v>345</v>
      </c>
      <c r="D158">
        <v>36.165999999999997</v>
      </c>
      <c r="E158">
        <v>4</v>
      </c>
      <c r="F158">
        <v>59.834000000000003</v>
      </c>
      <c r="G158">
        <v>23.667999999999999</v>
      </c>
      <c r="H158" t="b">
        <v>0</v>
      </c>
    </row>
    <row r="159" spans="1:10" x14ac:dyDescent="0.25">
      <c r="A159" t="s">
        <v>173</v>
      </c>
      <c r="B159">
        <v>96</v>
      </c>
      <c r="C159" t="s">
        <v>455</v>
      </c>
      <c r="D159">
        <v>36.165999999999997</v>
      </c>
      <c r="E159">
        <v>5</v>
      </c>
      <c r="F159">
        <v>96</v>
      </c>
      <c r="G159">
        <v>59.834000000000003</v>
      </c>
      <c r="H159" t="b">
        <v>0</v>
      </c>
    </row>
    <row r="160" spans="1:10" x14ac:dyDescent="0.25">
      <c r="A160" t="s">
        <v>173</v>
      </c>
      <c r="B160">
        <v>96</v>
      </c>
      <c r="C160" t="s">
        <v>503</v>
      </c>
      <c r="D160">
        <v>36.165999999999997</v>
      </c>
      <c r="E160">
        <v>5</v>
      </c>
      <c r="F160">
        <v>59.834000000000003</v>
      </c>
      <c r="G160">
        <v>23.667999999999999</v>
      </c>
      <c r="H160" t="b">
        <v>0</v>
      </c>
    </row>
    <row r="161" spans="1:10" x14ac:dyDescent="0.25">
      <c r="A161" t="s">
        <v>173</v>
      </c>
      <c r="B161">
        <v>96</v>
      </c>
      <c r="C161" t="s">
        <v>504</v>
      </c>
      <c r="D161">
        <v>36.165999999999997</v>
      </c>
      <c r="E161">
        <v>6</v>
      </c>
      <c r="F161">
        <v>96</v>
      </c>
      <c r="G161">
        <v>59.834000000000003</v>
      </c>
      <c r="H161" t="b">
        <v>0</v>
      </c>
    </row>
    <row r="162" spans="1:10" x14ac:dyDescent="0.25">
      <c r="A162" t="s">
        <v>173</v>
      </c>
      <c r="B162">
        <v>96</v>
      </c>
      <c r="C162" t="s">
        <v>288</v>
      </c>
      <c r="D162">
        <v>32.603999999999999</v>
      </c>
      <c r="E162">
        <v>6</v>
      </c>
      <c r="F162">
        <v>59.834000000000003</v>
      </c>
      <c r="G162">
        <v>27.23</v>
      </c>
      <c r="H162" t="b">
        <v>0</v>
      </c>
    </row>
    <row r="163" spans="1:10" x14ac:dyDescent="0.25">
      <c r="A163" t="s">
        <v>173</v>
      </c>
      <c r="B163">
        <v>96</v>
      </c>
      <c r="C163" t="s">
        <v>289</v>
      </c>
      <c r="D163">
        <v>32.603999999999999</v>
      </c>
      <c r="E163">
        <v>7</v>
      </c>
      <c r="F163">
        <v>96</v>
      </c>
      <c r="G163">
        <v>63.396000000000001</v>
      </c>
      <c r="H163" t="b">
        <v>0</v>
      </c>
    </row>
    <row r="164" spans="1:10" x14ac:dyDescent="0.25">
      <c r="A164" t="s">
        <v>173</v>
      </c>
      <c r="B164">
        <v>96</v>
      </c>
      <c r="C164" t="s">
        <v>290</v>
      </c>
      <c r="D164">
        <v>32.603999999999999</v>
      </c>
      <c r="E164">
        <v>7</v>
      </c>
      <c r="F164">
        <v>63.396000000000001</v>
      </c>
      <c r="G164">
        <v>30.792000000000002</v>
      </c>
      <c r="H164" t="b">
        <v>0</v>
      </c>
    </row>
    <row r="165" spans="1:10" x14ac:dyDescent="0.25">
      <c r="A165" t="s">
        <v>173</v>
      </c>
      <c r="B165">
        <v>96</v>
      </c>
      <c r="C165" t="s">
        <v>314</v>
      </c>
      <c r="D165">
        <v>12.802</v>
      </c>
      <c r="E165">
        <v>1</v>
      </c>
      <c r="F165">
        <v>13.922000000000001</v>
      </c>
      <c r="G165">
        <v>1.1200000000000001</v>
      </c>
      <c r="H165" t="b">
        <v>1</v>
      </c>
      <c r="I165">
        <v>1.1200000000000001</v>
      </c>
      <c r="J165" t="s">
        <v>197</v>
      </c>
    </row>
    <row r="166" spans="1:10" x14ac:dyDescent="0.25">
      <c r="A166" t="s">
        <v>173</v>
      </c>
      <c r="B166">
        <v>96</v>
      </c>
      <c r="C166" t="s">
        <v>461</v>
      </c>
      <c r="D166">
        <v>12.802</v>
      </c>
      <c r="E166">
        <v>2</v>
      </c>
      <c r="F166">
        <v>13.922000000000001</v>
      </c>
      <c r="G166">
        <v>1.1200000000000001</v>
      </c>
      <c r="H166" t="b">
        <v>1</v>
      </c>
      <c r="I166">
        <v>1.1200000000000001</v>
      </c>
      <c r="J166" t="s">
        <v>197</v>
      </c>
    </row>
    <row r="167" spans="1:10" x14ac:dyDescent="0.25">
      <c r="A167" t="s">
        <v>173</v>
      </c>
      <c r="B167">
        <v>96</v>
      </c>
      <c r="C167" t="s">
        <v>462</v>
      </c>
      <c r="D167">
        <v>12.802</v>
      </c>
      <c r="E167">
        <v>3</v>
      </c>
      <c r="F167">
        <v>18.795000000000002</v>
      </c>
      <c r="G167">
        <v>5.9930000000000003</v>
      </c>
      <c r="H167" t="b">
        <v>1</v>
      </c>
      <c r="I167">
        <v>5.9930000000000003</v>
      </c>
      <c r="J167" t="s">
        <v>197</v>
      </c>
    </row>
    <row r="168" spans="1:10" x14ac:dyDescent="0.25">
      <c r="A168" t="s">
        <v>173</v>
      </c>
      <c r="B168">
        <v>96</v>
      </c>
      <c r="C168" t="s">
        <v>463</v>
      </c>
      <c r="D168">
        <v>12.802</v>
      </c>
      <c r="E168">
        <v>4</v>
      </c>
      <c r="F168">
        <v>23.667999999999999</v>
      </c>
      <c r="G168">
        <v>10.866</v>
      </c>
      <c r="H168" t="b">
        <v>0</v>
      </c>
    </row>
    <row r="169" spans="1:10" x14ac:dyDescent="0.25">
      <c r="A169" t="s">
        <v>173</v>
      </c>
      <c r="B169">
        <v>96</v>
      </c>
      <c r="C169" t="s">
        <v>464</v>
      </c>
      <c r="D169">
        <v>12.802</v>
      </c>
      <c r="E169">
        <v>5</v>
      </c>
      <c r="F169">
        <v>23.667999999999999</v>
      </c>
      <c r="G169">
        <v>10.866</v>
      </c>
      <c r="H169" t="b">
        <v>0</v>
      </c>
    </row>
    <row r="170" spans="1:10" x14ac:dyDescent="0.25">
      <c r="A170" t="s">
        <v>173</v>
      </c>
      <c r="B170">
        <v>96</v>
      </c>
      <c r="C170" t="s">
        <v>540</v>
      </c>
      <c r="D170">
        <v>12.802</v>
      </c>
      <c r="E170">
        <v>6</v>
      </c>
      <c r="F170">
        <v>27.23</v>
      </c>
      <c r="G170">
        <v>14.428000000000001</v>
      </c>
      <c r="H170" t="b">
        <v>0</v>
      </c>
    </row>
    <row r="171" spans="1:10" x14ac:dyDescent="0.25">
      <c r="A171" t="s">
        <v>173</v>
      </c>
      <c r="B171">
        <v>96</v>
      </c>
      <c r="C171" t="s">
        <v>362</v>
      </c>
      <c r="D171">
        <v>8.59</v>
      </c>
      <c r="E171">
        <v>4</v>
      </c>
      <c r="F171">
        <v>10.866</v>
      </c>
      <c r="G171">
        <v>2.2759999999999998</v>
      </c>
      <c r="H171" t="b">
        <v>0</v>
      </c>
    </row>
    <row r="172" spans="1:10" x14ac:dyDescent="0.25">
      <c r="A172" t="s">
        <v>173</v>
      </c>
      <c r="B172">
        <v>96</v>
      </c>
      <c r="C172" t="s">
        <v>363</v>
      </c>
      <c r="D172">
        <v>8.59</v>
      </c>
      <c r="E172">
        <v>5</v>
      </c>
      <c r="F172">
        <v>10.866</v>
      </c>
      <c r="G172">
        <v>2.2759999999999998</v>
      </c>
      <c r="H172" t="b">
        <v>0</v>
      </c>
    </row>
    <row r="173" spans="1:10" x14ac:dyDescent="0.25">
      <c r="A173" t="s">
        <v>173</v>
      </c>
      <c r="B173">
        <v>96</v>
      </c>
      <c r="C173" t="s">
        <v>364</v>
      </c>
      <c r="D173">
        <v>8.59</v>
      </c>
      <c r="E173">
        <v>6</v>
      </c>
      <c r="F173">
        <v>14.428000000000001</v>
      </c>
      <c r="G173">
        <v>5.8380000000000001</v>
      </c>
      <c r="H173" t="b">
        <v>0</v>
      </c>
    </row>
    <row r="174" spans="1:10" x14ac:dyDescent="0.25">
      <c r="A174" t="s">
        <v>173</v>
      </c>
      <c r="B174">
        <v>96</v>
      </c>
      <c r="C174" t="s">
        <v>365</v>
      </c>
      <c r="D174">
        <v>8.59</v>
      </c>
      <c r="E174">
        <v>7</v>
      </c>
      <c r="F174">
        <v>30.792000000000002</v>
      </c>
      <c r="G174">
        <v>22.202000000000002</v>
      </c>
      <c r="H174" t="b">
        <v>1</v>
      </c>
      <c r="I174">
        <v>22.202000000000002</v>
      </c>
      <c r="J174" t="s">
        <v>187</v>
      </c>
    </row>
    <row r="175" spans="1:10" x14ac:dyDescent="0.25">
      <c r="A175" t="s">
        <v>173</v>
      </c>
      <c r="B175">
        <v>96</v>
      </c>
      <c r="C175" t="s">
        <v>225</v>
      </c>
      <c r="D175">
        <v>1.893</v>
      </c>
      <c r="E175">
        <v>4</v>
      </c>
      <c r="F175">
        <v>2.2759999999999998</v>
      </c>
      <c r="G175">
        <v>0.38300000000000001</v>
      </c>
      <c r="H175" t="b">
        <v>1</v>
      </c>
      <c r="I175">
        <v>0.38300000000000001</v>
      </c>
      <c r="J175" t="s">
        <v>197</v>
      </c>
    </row>
    <row r="176" spans="1:10" x14ac:dyDescent="0.25">
      <c r="A176" t="s">
        <v>173</v>
      </c>
      <c r="B176">
        <v>96</v>
      </c>
      <c r="C176" t="s">
        <v>226</v>
      </c>
      <c r="D176">
        <v>1.893</v>
      </c>
      <c r="E176">
        <v>5</v>
      </c>
      <c r="F176">
        <v>2.2759999999999998</v>
      </c>
      <c r="G176">
        <v>0.38300000000000001</v>
      </c>
      <c r="H176" t="b">
        <v>1</v>
      </c>
      <c r="I176">
        <v>0.38300000000000001</v>
      </c>
      <c r="J176" t="s">
        <v>197</v>
      </c>
    </row>
    <row r="177" spans="1:10" x14ac:dyDescent="0.25">
      <c r="A177" t="s">
        <v>173</v>
      </c>
      <c r="B177">
        <v>96</v>
      </c>
      <c r="C177" t="s">
        <v>505</v>
      </c>
      <c r="D177">
        <v>1.893</v>
      </c>
      <c r="E177">
        <v>6</v>
      </c>
      <c r="F177">
        <v>5.8380000000000001</v>
      </c>
      <c r="G177">
        <v>3.9449999999999998</v>
      </c>
      <c r="H177" t="b">
        <v>0</v>
      </c>
    </row>
    <row r="178" spans="1:10" x14ac:dyDescent="0.25">
      <c r="A178" t="s">
        <v>173</v>
      </c>
      <c r="B178">
        <v>96</v>
      </c>
      <c r="C178" t="s">
        <v>541</v>
      </c>
      <c r="D178">
        <v>1.893</v>
      </c>
      <c r="E178">
        <v>6</v>
      </c>
      <c r="F178">
        <v>3.9449999999999998</v>
      </c>
      <c r="G178">
        <v>2.052</v>
      </c>
      <c r="H178" t="b">
        <v>0</v>
      </c>
    </row>
    <row r="179" spans="1:10" x14ac:dyDescent="0.25">
      <c r="A179" t="s">
        <v>173</v>
      </c>
      <c r="B179">
        <v>96</v>
      </c>
      <c r="C179" t="s">
        <v>542</v>
      </c>
      <c r="D179">
        <v>1.893</v>
      </c>
      <c r="E179">
        <v>6</v>
      </c>
      <c r="F179">
        <v>2.052</v>
      </c>
      <c r="G179">
        <v>0.159</v>
      </c>
      <c r="H179" t="b">
        <v>1</v>
      </c>
      <c r="I179">
        <v>0.159</v>
      </c>
      <c r="J179" t="s">
        <v>197</v>
      </c>
    </row>
    <row r="180" spans="1:10" x14ac:dyDescent="0.25">
      <c r="A180" t="s">
        <v>174</v>
      </c>
      <c r="B180">
        <v>144</v>
      </c>
      <c r="C180" t="s">
        <v>336</v>
      </c>
      <c r="D180">
        <v>44.517000000000003</v>
      </c>
      <c r="E180">
        <v>1</v>
      </c>
      <c r="F180">
        <v>144</v>
      </c>
      <c r="G180">
        <v>99.483000000000004</v>
      </c>
      <c r="H180" t="b">
        <v>1</v>
      </c>
      <c r="I180">
        <v>99.483000000000004</v>
      </c>
      <c r="J180" t="s">
        <v>187</v>
      </c>
    </row>
    <row r="181" spans="1:10" x14ac:dyDescent="0.25">
      <c r="A181" t="s">
        <v>175</v>
      </c>
      <c r="B181">
        <v>96</v>
      </c>
      <c r="C181" t="s">
        <v>354</v>
      </c>
      <c r="D181">
        <v>40.197000000000003</v>
      </c>
      <c r="E181">
        <v>1</v>
      </c>
      <c r="F181">
        <v>96</v>
      </c>
      <c r="G181">
        <v>55.802999999999997</v>
      </c>
      <c r="H181" t="b">
        <v>0</v>
      </c>
    </row>
    <row r="182" spans="1:10" x14ac:dyDescent="0.25">
      <c r="A182" t="s">
        <v>175</v>
      </c>
      <c r="B182">
        <v>96</v>
      </c>
      <c r="C182" t="s">
        <v>355</v>
      </c>
      <c r="D182">
        <v>40.197000000000003</v>
      </c>
      <c r="E182">
        <v>1</v>
      </c>
      <c r="F182">
        <v>55.802999999999997</v>
      </c>
      <c r="G182">
        <v>15.606</v>
      </c>
      <c r="H182" t="b">
        <v>0</v>
      </c>
    </row>
    <row r="183" spans="1:10" x14ac:dyDescent="0.25">
      <c r="A183" t="s">
        <v>175</v>
      </c>
      <c r="B183">
        <v>96</v>
      </c>
      <c r="C183" t="s">
        <v>284</v>
      </c>
      <c r="D183">
        <v>38.518999999999998</v>
      </c>
      <c r="E183">
        <v>2</v>
      </c>
      <c r="F183">
        <v>96</v>
      </c>
      <c r="G183">
        <v>57.481000000000002</v>
      </c>
      <c r="H183" t="b">
        <v>0</v>
      </c>
    </row>
    <row r="184" spans="1:10" x14ac:dyDescent="0.25">
      <c r="A184" t="s">
        <v>175</v>
      </c>
      <c r="B184">
        <v>96</v>
      </c>
      <c r="C184" t="s">
        <v>285</v>
      </c>
      <c r="D184">
        <v>38.518999999999998</v>
      </c>
      <c r="E184">
        <v>2</v>
      </c>
      <c r="F184">
        <v>57.481000000000002</v>
      </c>
      <c r="G184">
        <v>18.962</v>
      </c>
      <c r="H184" t="b">
        <v>0</v>
      </c>
    </row>
    <row r="185" spans="1:10" x14ac:dyDescent="0.25">
      <c r="A185" t="s">
        <v>175</v>
      </c>
      <c r="B185">
        <v>96</v>
      </c>
      <c r="C185" t="s">
        <v>286</v>
      </c>
      <c r="D185">
        <v>38.518999999999998</v>
      </c>
      <c r="E185">
        <v>3</v>
      </c>
      <c r="F185">
        <v>96</v>
      </c>
      <c r="G185">
        <v>57.481000000000002</v>
      </c>
      <c r="H185" t="b">
        <v>0</v>
      </c>
    </row>
    <row r="186" spans="1:10" x14ac:dyDescent="0.25">
      <c r="A186" t="s">
        <v>175</v>
      </c>
      <c r="B186">
        <v>96</v>
      </c>
      <c r="C186" t="s">
        <v>287</v>
      </c>
      <c r="D186">
        <v>38.518999999999998</v>
      </c>
      <c r="E186">
        <v>3</v>
      </c>
      <c r="F186">
        <v>57.481000000000002</v>
      </c>
      <c r="G186">
        <v>18.962</v>
      </c>
      <c r="H186" t="b">
        <v>1</v>
      </c>
      <c r="I186">
        <v>18.962</v>
      </c>
      <c r="J186" t="s">
        <v>187</v>
      </c>
    </row>
    <row r="187" spans="1:10" x14ac:dyDescent="0.25">
      <c r="A187" t="s">
        <v>175</v>
      </c>
      <c r="B187">
        <v>96</v>
      </c>
      <c r="C187" t="s">
        <v>211</v>
      </c>
      <c r="D187">
        <v>36.765999999999998</v>
      </c>
      <c r="E187">
        <v>4</v>
      </c>
      <c r="F187">
        <v>96</v>
      </c>
      <c r="G187">
        <v>59.234000000000002</v>
      </c>
      <c r="H187" t="b">
        <v>0</v>
      </c>
    </row>
    <row r="188" spans="1:10" x14ac:dyDescent="0.25">
      <c r="A188" t="s">
        <v>175</v>
      </c>
      <c r="B188">
        <v>96</v>
      </c>
      <c r="C188" t="s">
        <v>212</v>
      </c>
      <c r="D188">
        <v>36.765999999999998</v>
      </c>
      <c r="E188">
        <v>4</v>
      </c>
      <c r="F188">
        <v>59.234000000000002</v>
      </c>
      <c r="G188">
        <v>22.468</v>
      </c>
      <c r="H188" t="b">
        <v>1</v>
      </c>
      <c r="I188">
        <v>22.468</v>
      </c>
      <c r="J188" t="s">
        <v>187</v>
      </c>
    </row>
    <row r="189" spans="1:10" x14ac:dyDescent="0.25">
      <c r="A189" t="s">
        <v>175</v>
      </c>
      <c r="B189">
        <v>96</v>
      </c>
      <c r="C189" t="s">
        <v>213</v>
      </c>
      <c r="D189">
        <v>36.765999999999998</v>
      </c>
      <c r="E189">
        <v>5</v>
      </c>
      <c r="F189">
        <v>96</v>
      </c>
      <c r="G189">
        <v>59.234000000000002</v>
      </c>
      <c r="H189" t="b">
        <v>0</v>
      </c>
    </row>
    <row r="190" spans="1:10" x14ac:dyDescent="0.25">
      <c r="A190" t="s">
        <v>175</v>
      </c>
      <c r="B190">
        <v>96</v>
      </c>
      <c r="C190" t="s">
        <v>214</v>
      </c>
      <c r="D190">
        <v>36.765999999999998</v>
      </c>
      <c r="E190">
        <v>5</v>
      </c>
      <c r="F190">
        <v>59.234000000000002</v>
      </c>
      <c r="G190">
        <v>22.468</v>
      </c>
      <c r="H190" t="b">
        <v>1</v>
      </c>
      <c r="I190">
        <v>22.468</v>
      </c>
      <c r="J190" t="s">
        <v>187</v>
      </c>
    </row>
    <row r="191" spans="1:10" x14ac:dyDescent="0.25">
      <c r="A191" t="s">
        <v>175</v>
      </c>
      <c r="B191">
        <v>96</v>
      </c>
      <c r="C191" t="s">
        <v>215</v>
      </c>
      <c r="D191">
        <v>36.765999999999998</v>
      </c>
      <c r="E191">
        <v>6</v>
      </c>
      <c r="F191">
        <v>96</v>
      </c>
      <c r="G191">
        <v>59.234000000000002</v>
      </c>
      <c r="H191" t="b">
        <v>0</v>
      </c>
    </row>
    <row r="192" spans="1:10" x14ac:dyDescent="0.25">
      <c r="A192" t="s">
        <v>175</v>
      </c>
      <c r="B192">
        <v>96</v>
      </c>
      <c r="C192" t="s">
        <v>543</v>
      </c>
      <c r="D192">
        <v>36.765999999999998</v>
      </c>
      <c r="E192">
        <v>6</v>
      </c>
      <c r="F192">
        <v>59.234000000000002</v>
      </c>
      <c r="G192">
        <v>22.468</v>
      </c>
      <c r="H192" t="b">
        <v>1</v>
      </c>
      <c r="I192">
        <v>22.468</v>
      </c>
      <c r="J192" t="s">
        <v>187</v>
      </c>
    </row>
    <row r="193" spans="1:10" x14ac:dyDescent="0.25">
      <c r="A193" t="s">
        <v>175</v>
      </c>
      <c r="B193">
        <v>96</v>
      </c>
      <c r="C193" t="s">
        <v>385</v>
      </c>
      <c r="D193">
        <v>30.91</v>
      </c>
      <c r="E193">
        <v>7</v>
      </c>
      <c r="F193">
        <v>96</v>
      </c>
      <c r="G193">
        <v>65.09</v>
      </c>
      <c r="H193" t="b">
        <v>0</v>
      </c>
    </row>
    <row r="194" spans="1:10" x14ac:dyDescent="0.25">
      <c r="A194" t="s">
        <v>175</v>
      </c>
      <c r="B194">
        <v>96</v>
      </c>
      <c r="C194" t="s">
        <v>386</v>
      </c>
      <c r="D194">
        <v>30.91</v>
      </c>
      <c r="E194">
        <v>7</v>
      </c>
      <c r="F194">
        <v>65.09</v>
      </c>
      <c r="G194">
        <v>34.18</v>
      </c>
      <c r="H194" t="b">
        <v>0</v>
      </c>
    </row>
    <row r="195" spans="1:10" x14ac:dyDescent="0.25">
      <c r="A195" t="s">
        <v>175</v>
      </c>
      <c r="B195">
        <v>96</v>
      </c>
      <c r="C195" t="s">
        <v>387</v>
      </c>
      <c r="D195">
        <v>30.91</v>
      </c>
      <c r="E195">
        <v>7</v>
      </c>
      <c r="F195">
        <v>34.18</v>
      </c>
      <c r="G195">
        <v>3.27</v>
      </c>
      <c r="H195" t="b">
        <v>1</v>
      </c>
      <c r="I195">
        <v>3.27</v>
      </c>
      <c r="J195" t="s">
        <v>197</v>
      </c>
    </row>
    <row r="196" spans="1:10" x14ac:dyDescent="0.25">
      <c r="A196" t="s">
        <v>175</v>
      </c>
      <c r="B196">
        <v>96</v>
      </c>
      <c r="C196" t="s">
        <v>388</v>
      </c>
      <c r="D196">
        <v>30.91</v>
      </c>
      <c r="E196">
        <v>8</v>
      </c>
      <c r="F196">
        <v>96</v>
      </c>
      <c r="G196">
        <v>65.09</v>
      </c>
      <c r="H196" t="b">
        <v>0</v>
      </c>
    </row>
    <row r="197" spans="1:10" x14ac:dyDescent="0.25">
      <c r="A197" t="s">
        <v>175</v>
      </c>
      <c r="B197">
        <v>96</v>
      </c>
      <c r="C197" t="s">
        <v>389</v>
      </c>
      <c r="D197">
        <v>30.91</v>
      </c>
      <c r="E197">
        <v>8</v>
      </c>
      <c r="F197">
        <v>65.09</v>
      </c>
      <c r="G197">
        <v>34.18</v>
      </c>
      <c r="H197" t="b">
        <v>0</v>
      </c>
    </row>
    <row r="198" spans="1:10" x14ac:dyDescent="0.25">
      <c r="A198" t="s">
        <v>175</v>
      </c>
      <c r="B198">
        <v>96</v>
      </c>
      <c r="C198" t="s">
        <v>544</v>
      </c>
      <c r="D198">
        <v>30.91</v>
      </c>
      <c r="E198">
        <v>8</v>
      </c>
      <c r="F198">
        <v>34.18</v>
      </c>
      <c r="G198">
        <v>3.27</v>
      </c>
      <c r="H198" t="b">
        <v>1</v>
      </c>
      <c r="I198">
        <v>3.27</v>
      </c>
      <c r="J198" t="s">
        <v>197</v>
      </c>
    </row>
    <row r="199" spans="1:10" x14ac:dyDescent="0.25">
      <c r="A199" t="s">
        <v>175</v>
      </c>
      <c r="B199">
        <v>96</v>
      </c>
      <c r="C199" t="s">
        <v>239</v>
      </c>
      <c r="D199">
        <v>3.431</v>
      </c>
      <c r="E199">
        <v>1</v>
      </c>
      <c r="F199">
        <v>15.606</v>
      </c>
      <c r="G199">
        <v>12.175000000000001</v>
      </c>
      <c r="H199" t="b">
        <v>0</v>
      </c>
    </row>
    <row r="200" spans="1:10" x14ac:dyDescent="0.25">
      <c r="A200" t="s">
        <v>175</v>
      </c>
      <c r="B200">
        <v>96</v>
      </c>
      <c r="C200" t="s">
        <v>240</v>
      </c>
      <c r="D200">
        <v>3.431</v>
      </c>
      <c r="E200">
        <v>1</v>
      </c>
      <c r="F200">
        <v>12.175000000000001</v>
      </c>
      <c r="G200">
        <v>8.7439999999999998</v>
      </c>
      <c r="H200" t="b">
        <v>0</v>
      </c>
    </row>
    <row r="201" spans="1:10" x14ac:dyDescent="0.25">
      <c r="A201" t="s">
        <v>175</v>
      </c>
      <c r="B201">
        <v>96</v>
      </c>
      <c r="C201" t="s">
        <v>241</v>
      </c>
      <c r="D201">
        <v>3.431</v>
      </c>
      <c r="E201">
        <v>1</v>
      </c>
      <c r="F201">
        <v>8.7439999999999998</v>
      </c>
      <c r="G201">
        <v>5.3129999999999997</v>
      </c>
      <c r="H201" t="b">
        <v>0</v>
      </c>
    </row>
    <row r="202" spans="1:10" x14ac:dyDescent="0.25">
      <c r="A202" t="s">
        <v>175</v>
      </c>
      <c r="B202">
        <v>96</v>
      </c>
      <c r="C202" t="s">
        <v>242</v>
      </c>
      <c r="D202">
        <v>3.431</v>
      </c>
      <c r="E202">
        <v>1</v>
      </c>
      <c r="F202">
        <v>5.3129999999999997</v>
      </c>
      <c r="G202">
        <v>1.8819999999999999</v>
      </c>
      <c r="H202" t="b">
        <v>1</v>
      </c>
      <c r="I202">
        <v>1.8819999999999999</v>
      </c>
      <c r="J202" t="s">
        <v>197</v>
      </c>
    </row>
    <row r="203" spans="1:10" x14ac:dyDescent="0.25">
      <c r="A203" t="s">
        <v>175</v>
      </c>
      <c r="B203">
        <v>96</v>
      </c>
      <c r="C203" t="s">
        <v>243</v>
      </c>
      <c r="D203">
        <v>3.431</v>
      </c>
      <c r="E203">
        <v>2</v>
      </c>
      <c r="F203">
        <v>18.962</v>
      </c>
      <c r="G203">
        <v>15.531000000000001</v>
      </c>
      <c r="H203" t="b">
        <v>0</v>
      </c>
    </row>
    <row r="204" spans="1:10" x14ac:dyDescent="0.25">
      <c r="A204" t="s">
        <v>175</v>
      </c>
      <c r="B204">
        <v>96</v>
      </c>
      <c r="C204" t="s">
        <v>523</v>
      </c>
      <c r="D204">
        <v>3.431</v>
      </c>
      <c r="E204">
        <v>2</v>
      </c>
      <c r="F204">
        <v>15.531000000000001</v>
      </c>
      <c r="G204">
        <v>12.1</v>
      </c>
      <c r="H204" t="b">
        <v>0</v>
      </c>
    </row>
    <row r="205" spans="1:10" x14ac:dyDescent="0.25">
      <c r="A205" t="s">
        <v>175</v>
      </c>
      <c r="B205">
        <v>96</v>
      </c>
      <c r="C205" t="s">
        <v>317</v>
      </c>
      <c r="D205">
        <v>3.3679999999999999</v>
      </c>
      <c r="E205">
        <v>2</v>
      </c>
      <c r="F205">
        <v>12.1</v>
      </c>
      <c r="G205">
        <v>8.7319999999999993</v>
      </c>
      <c r="H205" t="b">
        <v>0</v>
      </c>
    </row>
    <row r="206" spans="1:10" x14ac:dyDescent="0.25">
      <c r="A206" t="s">
        <v>175</v>
      </c>
      <c r="B206">
        <v>96</v>
      </c>
      <c r="C206" t="s">
        <v>318</v>
      </c>
      <c r="D206">
        <v>3.3679999999999999</v>
      </c>
      <c r="E206">
        <v>2</v>
      </c>
      <c r="F206">
        <v>8.7319999999999993</v>
      </c>
      <c r="G206">
        <v>5.3639999999999999</v>
      </c>
      <c r="H206" t="b">
        <v>0</v>
      </c>
    </row>
    <row r="207" spans="1:10" x14ac:dyDescent="0.25">
      <c r="A207" t="s">
        <v>175</v>
      </c>
      <c r="B207">
        <v>96</v>
      </c>
      <c r="C207" t="s">
        <v>319</v>
      </c>
      <c r="D207">
        <v>3.3679999999999999</v>
      </c>
      <c r="E207">
        <v>2</v>
      </c>
      <c r="F207">
        <v>5.3639999999999999</v>
      </c>
      <c r="G207">
        <v>1.996</v>
      </c>
      <c r="H207" t="b">
        <v>1</v>
      </c>
      <c r="I207">
        <v>1.996</v>
      </c>
      <c r="J207" t="s">
        <v>197</v>
      </c>
    </row>
    <row r="208" spans="1:10" x14ac:dyDescent="0.25">
      <c r="A208" t="s">
        <v>176</v>
      </c>
      <c r="B208">
        <v>144</v>
      </c>
      <c r="C208" t="s">
        <v>250</v>
      </c>
      <c r="D208">
        <v>40.523000000000003</v>
      </c>
      <c r="E208">
        <v>1</v>
      </c>
      <c r="F208">
        <v>144</v>
      </c>
      <c r="G208">
        <v>103.477</v>
      </c>
      <c r="H208" t="b">
        <v>0</v>
      </c>
    </row>
    <row r="209" spans="1:10" x14ac:dyDescent="0.25">
      <c r="A209" t="s">
        <v>176</v>
      </c>
      <c r="B209">
        <v>144</v>
      </c>
      <c r="C209" t="s">
        <v>251</v>
      </c>
      <c r="D209">
        <v>40.523000000000003</v>
      </c>
      <c r="E209">
        <v>1</v>
      </c>
      <c r="F209">
        <v>103.477</v>
      </c>
      <c r="G209">
        <v>62.954000000000001</v>
      </c>
      <c r="H209" t="b">
        <v>0</v>
      </c>
    </row>
    <row r="210" spans="1:10" x14ac:dyDescent="0.25">
      <c r="A210" t="s">
        <v>176</v>
      </c>
      <c r="B210">
        <v>144</v>
      </c>
      <c r="C210" t="s">
        <v>252</v>
      </c>
      <c r="D210">
        <v>40.523000000000003</v>
      </c>
      <c r="E210">
        <v>1</v>
      </c>
      <c r="F210">
        <v>62.954000000000001</v>
      </c>
      <c r="G210">
        <v>22.431000000000001</v>
      </c>
      <c r="H210" t="b">
        <v>0</v>
      </c>
    </row>
    <row r="211" spans="1:10" x14ac:dyDescent="0.25">
      <c r="A211" t="s">
        <v>176</v>
      </c>
      <c r="B211">
        <v>144</v>
      </c>
      <c r="C211" t="s">
        <v>315</v>
      </c>
      <c r="D211">
        <v>34.357999999999997</v>
      </c>
      <c r="E211">
        <v>2</v>
      </c>
      <c r="F211">
        <v>144</v>
      </c>
      <c r="G211">
        <v>109.642</v>
      </c>
      <c r="H211" t="b">
        <v>0</v>
      </c>
    </row>
    <row r="212" spans="1:10" x14ac:dyDescent="0.25">
      <c r="A212" t="s">
        <v>176</v>
      </c>
      <c r="B212">
        <v>144</v>
      </c>
      <c r="C212" t="s">
        <v>456</v>
      </c>
      <c r="D212">
        <v>34.357999999999997</v>
      </c>
      <c r="E212">
        <v>2</v>
      </c>
      <c r="F212">
        <v>109.642</v>
      </c>
      <c r="G212">
        <v>75.284000000000006</v>
      </c>
      <c r="H212" t="b">
        <v>0</v>
      </c>
    </row>
    <row r="213" spans="1:10" x14ac:dyDescent="0.25">
      <c r="A213" t="s">
        <v>176</v>
      </c>
      <c r="B213">
        <v>144</v>
      </c>
      <c r="C213" t="s">
        <v>457</v>
      </c>
      <c r="D213">
        <v>34.357999999999997</v>
      </c>
      <c r="E213">
        <v>2</v>
      </c>
      <c r="F213">
        <v>75.284000000000006</v>
      </c>
      <c r="G213">
        <v>40.926000000000002</v>
      </c>
      <c r="H213" t="b">
        <v>0</v>
      </c>
    </row>
    <row r="214" spans="1:10" x14ac:dyDescent="0.25">
      <c r="A214" t="s">
        <v>176</v>
      </c>
      <c r="B214">
        <v>144</v>
      </c>
      <c r="C214" t="s">
        <v>458</v>
      </c>
      <c r="D214">
        <v>34.357999999999997</v>
      </c>
      <c r="E214">
        <v>2</v>
      </c>
      <c r="F214">
        <v>40.926000000000002</v>
      </c>
      <c r="G214">
        <v>6.5679999999999996</v>
      </c>
      <c r="H214" t="b">
        <v>0</v>
      </c>
    </row>
    <row r="215" spans="1:10" x14ac:dyDescent="0.25">
      <c r="A215" t="s">
        <v>176</v>
      </c>
      <c r="B215">
        <v>144</v>
      </c>
      <c r="C215" t="s">
        <v>263</v>
      </c>
      <c r="D215">
        <v>32.296999999999997</v>
      </c>
      <c r="E215">
        <v>3</v>
      </c>
      <c r="F215">
        <v>144</v>
      </c>
      <c r="G215">
        <v>111.703</v>
      </c>
      <c r="H215" t="b">
        <v>0</v>
      </c>
    </row>
    <row r="216" spans="1:10" x14ac:dyDescent="0.25">
      <c r="A216" t="s">
        <v>176</v>
      </c>
      <c r="B216">
        <v>144</v>
      </c>
      <c r="C216" t="s">
        <v>264</v>
      </c>
      <c r="D216">
        <v>32.296999999999997</v>
      </c>
      <c r="E216">
        <v>3</v>
      </c>
      <c r="F216">
        <v>111.703</v>
      </c>
      <c r="G216">
        <v>79.406000000000006</v>
      </c>
      <c r="H216" t="b">
        <v>0</v>
      </c>
    </row>
    <row r="217" spans="1:10" x14ac:dyDescent="0.25">
      <c r="A217" t="s">
        <v>176</v>
      </c>
      <c r="B217">
        <v>144</v>
      </c>
      <c r="C217" t="s">
        <v>265</v>
      </c>
      <c r="D217">
        <v>32.296999999999997</v>
      </c>
      <c r="E217">
        <v>3</v>
      </c>
      <c r="F217">
        <v>79.406000000000006</v>
      </c>
      <c r="G217">
        <v>47.109000000000002</v>
      </c>
      <c r="H217" t="b">
        <v>0</v>
      </c>
    </row>
    <row r="218" spans="1:10" x14ac:dyDescent="0.25">
      <c r="A218" t="s">
        <v>176</v>
      </c>
      <c r="B218">
        <v>144</v>
      </c>
      <c r="C218" t="s">
        <v>408</v>
      </c>
      <c r="D218">
        <v>15.817</v>
      </c>
      <c r="E218">
        <v>1</v>
      </c>
      <c r="F218">
        <v>22.431000000000001</v>
      </c>
      <c r="G218">
        <v>6.6139999999999999</v>
      </c>
      <c r="H218" t="b">
        <v>0</v>
      </c>
    </row>
    <row r="219" spans="1:10" x14ac:dyDescent="0.25">
      <c r="A219" t="s">
        <v>176</v>
      </c>
      <c r="B219">
        <v>144</v>
      </c>
      <c r="C219" t="s">
        <v>409</v>
      </c>
      <c r="D219">
        <v>15.817</v>
      </c>
      <c r="E219">
        <v>3</v>
      </c>
      <c r="F219">
        <v>47.109000000000002</v>
      </c>
      <c r="G219">
        <v>31.292000000000002</v>
      </c>
      <c r="H219" t="b">
        <v>0</v>
      </c>
    </row>
    <row r="220" spans="1:10" x14ac:dyDescent="0.25">
      <c r="A220" t="s">
        <v>176</v>
      </c>
      <c r="B220">
        <v>144</v>
      </c>
      <c r="C220" t="s">
        <v>410</v>
      </c>
      <c r="D220">
        <v>15.817</v>
      </c>
      <c r="E220">
        <v>3</v>
      </c>
      <c r="F220">
        <v>31.292000000000002</v>
      </c>
      <c r="G220">
        <v>15.475</v>
      </c>
      <c r="H220" t="b">
        <v>0</v>
      </c>
    </row>
    <row r="221" spans="1:10" x14ac:dyDescent="0.25">
      <c r="A221" t="s">
        <v>176</v>
      </c>
      <c r="B221">
        <v>144</v>
      </c>
      <c r="C221" t="s">
        <v>411</v>
      </c>
      <c r="D221">
        <v>15.817</v>
      </c>
      <c r="E221">
        <v>4</v>
      </c>
      <c r="F221">
        <v>144</v>
      </c>
      <c r="G221">
        <v>128.18299999999999</v>
      </c>
      <c r="H221" t="b">
        <v>0</v>
      </c>
    </row>
    <row r="222" spans="1:10" x14ac:dyDescent="0.25">
      <c r="A222" t="s">
        <v>176</v>
      </c>
      <c r="B222">
        <v>144</v>
      </c>
      <c r="C222" t="s">
        <v>412</v>
      </c>
      <c r="D222">
        <v>15.817</v>
      </c>
      <c r="E222">
        <v>4</v>
      </c>
      <c r="F222">
        <v>128.18299999999999</v>
      </c>
      <c r="G222">
        <v>112.366</v>
      </c>
      <c r="H222" t="b">
        <v>0</v>
      </c>
    </row>
    <row r="223" spans="1:10" x14ac:dyDescent="0.25">
      <c r="A223" t="s">
        <v>176</v>
      </c>
      <c r="B223">
        <v>144</v>
      </c>
      <c r="C223" t="s">
        <v>413</v>
      </c>
      <c r="D223">
        <v>15.817</v>
      </c>
      <c r="E223">
        <v>4</v>
      </c>
      <c r="F223">
        <v>112.366</v>
      </c>
      <c r="G223">
        <v>96.549000000000007</v>
      </c>
      <c r="H223" t="b">
        <v>1</v>
      </c>
      <c r="I223">
        <v>96.549000000000007</v>
      </c>
      <c r="J223" t="s">
        <v>187</v>
      </c>
    </row>
    <row r="224" spans="1:10" x14ac:dyDescent="0.25">
      <c r="A224" t="s">
        <v>176</v>
      </c>
      <c r="B224">
        <v>144</v>
      </c>
      <c r="C224" t="s">
        <v>220</v>
      </c>
      <c r="D224">
        <v>4.8559999999999999</v>
      </c>
      <c r="E224">
        <v>2</v>
      </c>
      <c r="F224">
        <v>6.5679999999999996</v>
      </c>
      <c r="G224">
        <v>1.712</v>
      </c>
      <c r="H224" t="b">
        <v>1</v>
      </c>
      <c r="I224">
        <v>1.712</v>
      </c>
      <c r="J224" t="s">
        <v>197</v>
      </c>
    </row>
    <row r="225" spans="1:10" x14ac:dyDescent="0.25">
      <c r="A225" t="s">
        <v>176</v>
      </c>
      <c r="B225">
        <v>144</v>
      </c>
      <c r="C225" t="s">
        <v>221</v>
      </c>
      <c r="D225">
        <v>4.8559999999999999</v>
      </c>
      <c r="E225">
        <v>1</v>
      </c>
      <c r="F225">
        <v>6.6139999999999999</v>
      </c>
      <c r="G225">
        <v>1.758</v>
      </c>
      <c r="H225" t="b">
        <v>1</v>
      </c>
      <c r="I225">
        <v>1.758</v>
      </c>
      <c r="J225" t="s">
        <v>197</v>
      </c>
    </row>
    <row r="226" spans="1:10" x14ac:dyDescent="0.25">
      <c r="A226" t="s">
        <v>176</v>
      </c>
      <c r="B226">
        <v>144</v>
      </c>
      <c r="C226" t="s">
        <v>222</v>
      </c>
      <c r="D226">
        <v>4.8559999999999999</v>
      </c>
      <c r="E226">
        <v>3</v>
      </c>
      <c r="F226">
        <v>15.475</v>
      </c>
      <c r="G226">
        <v>10.619</v>
      </c>
      <c r="H226" t="b">
        <v>1</v>
      </c>
      <c r="I226">
        <v>10.619</v>
      </c>
      <c r="J226" t="s">
        <v>197</v>
      </c>
    </row>
    <row r="227" spans="1:10" x14ac:dyDescent="0.25">
      <c r="A227" t="s">
        <v>177</v>
      </c>
      <c r="B227">
        <v>96</v>
      </c>
      <c r="C227" t="s">
        <v>281</v>
      </c>
      <c r="D227">
        <v>46.24</v>
      </c>
      <c r="E227">
        <v>1</v>
      </c>
      <c r="F227">
        <v>96</v>
      </c>
      <c r="G227">
        <v>49.76</v>
      </c>
      <c r="H227" t="b">
        <v>0</v>
      </c>
    </row>
    <row r="228" spans="1:10" x14ac:dyDescent="0.25">
      <c r="A228" t="s">
        <v>177</v>
      </c>
      <c r="B228">
        <v>96</v>
      </c>
      <c r="C228" t="s">
        <v>478</v>
      </c>
      <c r="D228">
        <v>46.24</v>
      </c>
      <c r="E228">
        <v>1</v>
      </c>
      <c r="F228">
        <v>49.76</v>
      </c>
      <c r="G228">
        <v>3.52</v>
      </c>
      <c r="H228" t="b">
        <v>0</v>
      </c>
    </row>
    <row r="229" spans="1:10" x14ac:dyDescent="0.25">
      <c r="A229" t="s">
        <v>177</v>
      </c>
      <c r="B229">
        <v>96</v>
      </c>
      <c r="C229" t="s">
        <v>479</v>
      </c>
      <c r="D229">
        <v>46.24</v>
      </c>
      <c r="E229">
        <v>2</v>
      </c>
      <c r="F229">
        <v>96</v>
      </c>
      <c r="G229">
        <v>49.76</v>
      </c>
      <c r="H229" t="b">
        <v>0</v>
      </c>
    </row>
    <row r="230" spans="1:10" x14ac:dyDescent="0.25">
      <c r="A230" t="s">
        <v>177</v>
      </c>
      <c r="B230">
        <v>96</v>
      </c>
      <c r="C230" t="s">
        <v>545</v>
      </c>
      <c r="D230">
        <v>46.24</v>
      </c>
      <c r="E230">
        <v>2</v>
      </c>
      <c r="F230">
        <v>49.76</v>
      </c>
      <c r="G230">
        <v>3.52</v>
      </c>
      <c r="H230" t="b">
        <v>1</v>
      </c>
      <c r="I230">
        <v>3.52</v>
      </c>
      <c r="J230" t="s">
        <v>197</v>
      </c>
    </row>
    <row r="231" spans="1:10" x14ac:dyDescent="0.25">
      <c r="A231" t="s">
        <v>177</v>
      </c>
      <c r="B231">
        <v>96</v>
      </c>
      <c r="C231" t="s">
        <v>546</v>
      </c>
      <c r="D231">
        <v>46.24</v>
      </c>
      <c r="E231">
        <v>3</v>
      </c>
      <c r="F231">
        <v>96</v>
      </c>
      <c r="G231">
        <v>49.76</v>
      </c>
      <c r="H231" t="b">
        <v>0</v>
      </c>
    </row>
    <row r="232" spans="1:10" x14ac:dyDescent="0.25">
      <c r="A232" t="s">
        <v>177</v>
      </c>
      <c r="B232">
        <v>96</v>
      </c>
      <c r="C232" t="s">
        <v>547</v>
      </c>
      <c r="D232">
        <v>46.24</v>
      </c>
      <c r="E232">
        <v>3</v>
      </c>
      <c r="F232">
        <v>49.76</v>
      </c>
      <c r="G232">
        <v>3.52</v>
      </c>
      <c r="H232" t="b">
        <v>1</v>
      </c>
      <c r="I232">
        <v>3.52</v>
      </c>
      <c r="J232" t="s">
        <v>197</v>
      </c>
    </row>
    <row r="233" spans="1:10" x14ac:dyDescent="0.25">
      <c r="A233" t="s">
        <v>177</v>
      </c>
      <c r="B233">
        <v>96</v>
      </c>
      <c r="C233" t="s">
        <v>194</v>
      </c>
      <c r="D233">
        <v>46.179000000000002</v>
      </c>
      <c r="E233">
        <v>4</v>
      </c>
      <c r="F233">
        <v>96</v>
      </c>
      <c r="G233">
        <v>49.820999999999998</v>
      </c>
      <c r="H233" t="b">
        <v>0</v>
      </c>
    </row>
    <row r="234" spans="1:10" x14ac:dyDescent="0.25">
      <c r="A234" t="s">
        <v>177</v>
      </c>
      <c r="B234">
        <v>96</v>
      </c>
      <c r="C234" t="s">
        <v>195</v>
      </c>
      <c r="D234">
        <v>46.179000000000002</v>
      </c>
      <c r="E234">
        <v>4</v>
      </c>
      <c r="F234">
        <v>49.820999999999998</v>
      </c>
      <c r="G234">
        <v>3.6419999999999999</v>
      </c>
      <c r="H234" t="b">
        <v>1</v>
      </c>
      <c r="I234">
        <v>3.6419999999999999</v>
      </c>
      <c r="J234" t="s">
        <v>197</v>
      </c>
    </row>
    <row r="235" spans="1:10" x14ac:dyDescent="0.25">
      <c r="A235" t="s">
        <v>177</v>
      </c>
      <c r="B235">
        <v>96</v>
      </c>
      <c r="C235" t="s">
        <v>196</v>
      </c>
      <c r="D235">
        <v>46.179000000000002</v>
      </c>
      <c r="E235">
        <v>5</v>
      </c>
      <c r="F235">
        <v>96</v>
      </c>
      <c r="G235">
        <v>49.820999999999998</v>
      </c>
      <c r="H235" t="b">
        <v>0</v>
      </c>
    </row>
    <row r="236" spans="1:10" x14ac:dyDescent="0.25">
      <c r="A236" t="s">
        <v>177</v>
      </c>
      <c r="B236">
        <v>96</v>
      </c>
      <c r="C236" t="s">
        <v>423</v>
      </c>
      <c r="D236">
        <v>37.521000000000001</v>
      </c>
      <c r="E236">
        <v>5</v>
      </c>
      <c r="F236">
        <v>49.820999999999998</v>
      </c>
      <c r="G236">
        <v>12.3</v>
      </c>
      <c r="H236" t="b">
        <v>0</v>
      </c>
    </row>
    <row r="237" spans="1:10" x14ac:dyDescent="0.25">
      <c r="A237" t="s">
        <v>177</v>
      </c>
      <c r="B237">
        <v>96</v>
      </c>
      <c r="C237" t="s">
        <v>424</v>
      </c>
      <c r="D237">
        <v>37.521000000000001</v>
      </c>
      <c r="E237">
        <v>6</v>
      </c>
      <c r="F237">
        <v>96</v>
      </c>
      <c r="G237">
        <v>58.478999999999999</v>
      </c>
      <c r="H237" t="b">
        <v>0</v>
      </c>
    </row>
    <row r="238" spans="1:10" x14ac:dyDescent="0.25">
      <c r="A238" t="s">
        <v>177</v>
      </c>
      <c r="B238">
        <v>96</v>
      </c>
      <c r="C238" t="s">
        <v>311</v>
      </c>
      <c r="D238">
        <v>25.738</v>
      </c>
      <c r="E238">
        <v>6</v>
      </c>
      <c r="F238">
        <v>58.478999999999999</v>
      </c>
      <c r="G238">
        <v>32.741</v>
      </c>
      <c r="H238" t="b">
        <v>0</v>
      </c>
    </row>
    <row r="239" spans="1:10" x14ac:dyDescent="0.25">
      <c r="A239" t="s">
        <v>177</v>
      </c>
      <c r="B239">
        <v>96</v>
      </c>
      <c r="C239" t="s">
        <v>312</v>
      </c>
      <c r="D239">
        <v>25.738</v>
      </c>
      <c r="E239">
        <v>6</v>
      </c>
      <c r="F239">
        <v>32.741</v>
      </c>
      <c r="G239">
        <v>7.0030000000000001</v>
      </c>
      <c r="H239" t="b">
        <v>1</v>
      </c>
      <c r="I239">
        <v>7.0030000000000001</v>
      </c>
      <c r="J239" t="s">
        <v>197</v>
      </c>
    </row>
    <row r="240" spans="1:10" x14ac:dyDescent="0.25">
      <c r="A240" t="s">
        <v>177</v>
      </c>
      <c r="B240">
        <v>96</v>
      </c>
      <c r="C240" t="s">
        <v>313</v>
      </c>
      <c r="D240">
        <v>25.738</v>
      </c>
      <c r="E240">
        <v>7</v>
      </c>
      <c r="F240">
        <v>96</v>
      </c>
      <c r="G240">
        <v>70.262</v>
      </c>
      <c r="H240" t="b">
        <v>0</v>
      </c>
    </row>
    <row r="241" spans="1:10" x14ac:dyDescent="0.25">
      <c r="A241" t="s">
        <v>177</v>
      </c>
      <c r="B241">
        <v>96</v>
      </c>
      <c r="C241" t="s">
        <v>493</v>
      </c>
      <c r="D241">
        <v>25.738</v>
      </c>
      <c r="E241">
        <v>7</v>
      </c>
      <c r="F241">
        <v>70.262</v>
      </c>
      <c r="G241">
        <v>44.524000000000001</v>
      </c>
      <c r="H241" t="b">
        <v>0</v>
      </c>
    </row>
    <row r="242" spans="1:10" x14ac:dyDescent="0.25">
      <c r="A242" t="s">
        <v>177</v>
      </c>
      <c r="B242">
        <v>96</v>
      </c>
      <c r="C242" t="s">
        <v>548</v>
      </c>
      <c r="D242">
        <v>25.738</v>
      </c>
      <c r="E242">
        <v>7</v>
      </c>
      <c r="F242">
        <v>44.524000000000001</v>
      </c>
      <c r="G242">
        <v>18.786000000000001</v>
      </c>
      <c r="H242" t="b">
        <v>0</v>
      </c>
    </row>
    <row r="243" spans="1:10" x14ac:dyDescent="0.25">
      <c r="A243" t="s">
        <v>177</v>
      </c>
      <c r="B243">
        <v>96</v>
      </c>
      <c r="C243" t="s">
        <v>549</v>
      </c>
      <c r="D243">
        <v>25.738</v>
      </c>
      <c r="E243">
        <v>8</v>
      </c>
      <c r="F243">
        <v>96</v>
      </c>
      <c r="G243">
        <v>70.262</v>
      </c>
      <c r="H243" t="b">
        <v>0</v>
      </c>
    </row>
    <row r="244" spans="1:10" x14ac:dyDescent="0.25">
      <c r="A244" t="s">
        <v>177</v>
      </c>
      <c r="B244">
        <v>96</v>
      </c>
      <c r="C244" t="s">
        <v>253</v>
      </c>
      <c r="D244">
        <v>24.315000000000001</v>
      </c>
      <c r="E244">
        <v>8</v>
      </c>
      <c r="F244">
        <v>70.262</v>
      </c>
      <c r="G244">
        <v>45.947000000000003</v>
      </c>
      <c r="H244" t="b">
        <v>0</v>
      </c>
    </row>
    <row r="245" spans="1:10" x14ac:dyDescent="0.25">
      <c r="A245" t="s">
        <v>177</v>
      </c>
      <c r="B245">
        <v>96</v>
      </c>
      <c r="C245" t="s">
        <v>254</v>
      </c>
      <c r="D245">
        <v>24.315000000000001</v>
      </c>
      <c r="E245">
        <v>8</v>
      </c>
      <c r="F245">
        <v>45.947000000000003</v>
      </c>
      <c r="G245">
        <v>21.632000000000001</v>
      </c>
      <c r="H245" t="b">
        <v>1</v>
      </c>
      <c r="I245">
        <v>21.632000000000001</v>
      </c>
      <c r="J245" t="s">
        <v>187</v>
      </c>
    </row>
    <row r="246" spans="1:10" x14ac:dyDescent="0.25">
      <c r="A246" t="s">
        <v>177</v>
      </c>
      <c r="B246">
        <v>96</v>
      </c>
      <c r="C246" t="s">
        <v>255</v>
      </c>
      <c r="D246">
        <v>24.315000000000001</v>
      </c>
      <c r="E246">
        <v>9</v>
      </c>
      <c r="F246">
        <v>96</v>
      </c>
      <c r="G246">
        <v>71.685000000000002</v>
      </c>
      <c r="H246" t="b">
        <v>0</v>
      </c>
    </row>
    <row r="247" spans="1:10" x14ac:dyDescent="0.25">
      <c r="A247" t="s">
        <v>177</v>
      </c>
      <c r="B247">
        <v>96</v>
      </c>
      <c r="C247" t="s">
        <v>256</v>
      </c>
      <c r="D247">
        <v>24.315000000000001</v>
      </c>
      <c r="E247">
        <v>9</v>
      </c>
      <c r="F247">
        <v>71.685000000000002</v>
      </c>
      <c r="G247">
        <v>47.37</v>
      </c>
      <c r="H247" t="b">
        <v>1</v>
      </c>
      <c r="I247">
        <v>47.37</v>
      </c>
      <c r="J247" t="s">
        <v>187</v>
      </c>
    </row>
    <row r="248" spans="1:10" x14ac:dyDescent="0.25">
      <c r="A248" t="s">
        <v>177</v>
      </c>
      <c r="B248">
        <v>96</v>
      </c>
      <c r="C248" t="s">
        <v>228</v>
      </c>
      <c r="D248">
        <v>8.2319999999999993</v>
      </c>
      <c r="E248">
        <v>5</v>
      </c>
      <c r="F248">
        <v>12.3</v>
      </c>
      <c r="G248">
        <v>4.0679999999999996</v>
      </c>
      <c r="H248" t="b">
        <v>1</v>
      </c>
      <c r="I248">
        <v>4.0679999999999996</v>
      </c>
      <c r="J248" t="s">
        <v>197</v>
      </c>
    </row>
    <row r="249" spans="1:10" x14ac:dyDescent="0.25">
      <c r="A249" t="s">
        <v>177</v>
      </c>
      <c r="B249">
        <v>96</v>
      </c>
      <c r="C249" t="s">
        <v>480</v>
      </c>
      <c r="D249">
        <v>8.2319999999999993</v>
      </c>
      <c r="E249">
        <v>7</v>
      </c>
      <c r="F249">
        <v>18.786000000000001</v>
      </c>
      <c r="G249">
        <v>10.554</v>
      </c>
      <c r="H249" t="b">
        <v>1</v>
      </c>
      <c r="I249">
        <v>10.554</v>
      </c>
      <c r="J249" t="s">
        <v>197</v>
      </c>
    </row>
    <row r="250" spans="1:10" x14ac:dyDescent="0.25">
      <c r="A250" t="s">
        <v>177</v>
      </c>
      <c r="B250">
        <v>96</v>
      </c>
      <c r="C250" t="s">
        <v>335</v>
      </c>
      <c r="D250">
        <v>2.3969999999999998</v>
      </c>
      <c r="E250">
        <v>1</v>
      </c>
      <c r="F250">
        <v>3.52</v>
      </c>
      <c r="G250">
        <v>1.123</v>
      </c>
      <c r="H250" t="b">
        <v>1</v>
      </c>
      <c r="I250">
        <v>1.123</v>
      </c>
      <c r="J250" t="s">
        <v>197</v>
      </c>
    </row>
    <row r="251" spans="1:10" x14ac:dyDescent="0.25">
      <c r="A251" t="s">
        <v>178</v>
      </c>
      <c r="B251">
        <v>144</v>
      </c>
      <c r="C251" t="s">
        <v>202</v>
      </c>
      <c r="D251">
        <v>39.31</v>
      </c>
      <c r="E251">
        <v>1</v>
      </c>
      <c r="F251">
        <v>144</v>
      </c>
      <c r="G251">
        <v>104.69</v>
      </c>
      <c r="H251" t="b">
        <v>0</v>
      </c>
    </row>
    <row r="252" spans="1:10" x14ac:dyDescent="0.25">
      <c r="A252" t="s">
        <v>178</v>
      </c>
      <c r="B252">
        <v>144</v>
      </c>
      <c r="C252" t="s">
        <v>203</v>
      </c>
      <c r="D252">
        <v>39.31</v>
      </c>
      <c r="E252">
        <v>1</v>
      </c>
      <c r="F252">
        <v>104.69</v>
      </c>
      <c r="G252">
        <v>65.38</v>
      </c>
      <c r="H252" t="b">
        <v>0</v>
      </c>
    </row>
    <row r="253" spans="1:10" x14ac:dyDescent="0.25">
      <c r="A253" t="s">
        <v>178</v>
      </c>
      <c r="B253">
        <v>144</v>
      </c>
      <c r="C253" t="s">
        <v>204</v>
      </c>
      <c r="D253">
        <v>39.31</v>
      </c>
      <c r="E253">
        <v>1</v>
      </c>
      <c r="F253">
        <v>65.38</v>
      </c>
      <c r="G253">
        <v>26.07</v>
      </c>
      <c r="H253" t="b">
        <v>0</v>
      </c>
    </row>
    <row r="254" spans="1:10" x14ac:dyDescent="0.25">
      <c r="A254" t="s">
        <v>178</v>
      </c>
      <c r="B254">
        <v>144</v>
      </c>
      <c r="C254" t="s">
        <v>205</v>
      </c>
      <c r="D254">
        <v>39.31</v>
      </c>
      <c r="E254">
        <v>2</v>
      </c>
      <c r="F254">
        <v>144</v>
      </c>
      <c r="G254">
        <v>104.69</v>
      </c>
      <c r="H254" t="b">
        <v>0</v>
      </c>
    </row>
    <row r="255" spans="1:10" x14ac:dyDescent="0.25">
      <c r="A255" t="s">
        <v>178</v>
      </c>
      <c r="B255">
        <v>144</v>
      </c>
      <c r="C255" t="s">
        <v>206</v>
      </c>
      <c r="D255">
        <v>39.31</v>
      </c>
      <c r="E255">
        <v>2</v>
      </c>
      <c r="F255">
        <v>104.69</v>
      </c>
      <c r="G255">
        <v>65.38</v>
      </c>
      <c r="H255" t="b">
        <v>0</v>
      </c>
    </row>
    <row r="256" spans="1:10" x14ac:dyDescent="0.25">
      <c r="A256" t="s">
        <v>178</v>
      </c>
      <c r="B256">
        <v>144</v>
      </c>
      <c r="C256" t="s">
        <v>521</v>
      </c>
      <c r="D256">
        <v>39.31</v>
      </c>
      <c r="E256">
        <v>2</v>
      </c>
      <c r="F256">
        <v>65.38</v>
      </c>
      <c r="G256">
        <v>26.07</v>
      </c>
      <c r="H256" t="b">
        <v>0</v>
      </c>
    </row>
    <row r="257" spans="1:10" x14ac:dyDescent="0.25">
      <c r="A257" t="s">
        <v>178</v>
      </c>
      <c r="B257">
        <v>144</v>
      </c>
      <c r="C257" t="s">
        <v>273</v>
      </c>
      <c r="D257">
        <v>30.4</v>
      </c>
      <c r="E257">
        <v>3</v>
      </c>
      <c r="F257">
        <v>144</v>
      </c>
      <c r="G257">
        <v>113.6</v>
      </c>
      <c r="H257" t="b">
        <v>0</v>
      </c>
    </row>
    <row r="258" spans="1:10" x14ac:dyDescent="0.25">
      <c r="A258" t="s">
        <v>178</v>
      </c>
      <c r="B258">
        <v>144</v>
      </c>
      <c r="C258" t="s">
        <v>396</v>
      </c>
      <c r="D258">
        <v>22.038</v>
      </c>
      <c r="E258">
        <v>1</v>
      </c>
      <c r="F258">
        <v>26.07</v>
      </c>
      <c r="G258">
        <v>4.032</v>
      </c>
      <c r="H258" t="b">
        <v>1</v>
      </c>
      <c r="I258">
        <v>4.032</v>
      </c>
      <c r="J258" t="s">
        <v>197</v>
      </c>
    </row>
    <row r="259" spans="1:10" x14ac:dyDescent="0.25">
      <c r="A259" t="s">
        <v>178</v>
      </c>
      <c r="B259">
        <v>144</v>
      </c>
      <c r="C259" t="s">
        <v>397</v>
      </c>
      <c r="D259">
        <v>22.038</v>
      </c>
      <c r="E259">
        <v>2</v>
      </c>
      <c r="F259">
        <v>26.07</v>
      </c>
      <c r="G259">
        <v>4.032</v>
      </c>
      <c r="H259" t="b">
        <v>1</v>
      </c>
      <c r="I259">
        <v>4.032</v>
      </c>
      <c r="J259" t="s">
        <v>197</v>
      </c>
    </row>
    <row r="260" spans="1:10" x14ac:dyDescent="0.25">
      <c r="A260" t="s">
        <v>178</v>
      </c>
      <c r="B260">
        <v>144</v>
      </c>
      <c r="C260" t="s">
        <v>398</v>
      </c>
      <c r="D260">
        <v>22.038</v>
      </c>
      <c r="E260">
        <v>3</v>
      </c>
      <c r="F260">
        <v>113.6</v>
      </c>
      <c r="G260">
        <v>91.561999999999998</v>
      </c>
      <c r="H260" t="b">
        <v>0</v>
      </c>
    </row>
    <row r="261" spans="1:10" x14ac:dyDescent="0.25">
      <c r="A261" t="s">
        <v>178</v>
      </c>
      <c r="B261">
        <v>144</v>
      </c>
      <c r="C261" t="s">
        <v>550</v>
      </c>
      <c r="D261">
        <v>22.038</v>
      </c>
      <c r="E261">
        <v>3</v>
      </c>
      <c r="F261">
        <v>91.561999999999998</v>
      </c>
      <c r="G261">
        <v>69.524000000000001</v>
      </c>
      <c r="H261" t="b">
        <v>0</v>
      </c>
    </row>
    <row r="262" spans="1:10" x14ac:dyDescent="0.25">
      <c r="A262" t="s">
        <v>178</v>
      </c>
      <c r="B262">
        <v>144</v>
      </c>
      <c r="C262" t="s">
        <v>551</v>
      </c>
      <c r="D262">
        <v>22.038</v>
      </c>
      <c r="E262">
        <v>3</v>
      </c>
      <c r="F262">
        <v>69.524000000000001</v>
      </c>
      <c r="G262">
        <v>47.485999999999997</v>
      </c>
      <c r="H262" t="b">
        <v>0</v>
      </c>
    </row>
    <row r="263" spans="1:10" x14ac:dyDescent="0.25">
      <c r="A263" t="s">
        <v>178</v>
      </c>
      <c r="B263">
        <v>144</v>
      </c>
      <c r="C263" t="s">
        <v>552</v>
      </c>
      <c r="D263">
        <v>22.038</v>
      </c>
      <c r="E263">
        <v>3</v>
      </c>
      <c r="F263">
        <v>47.485999999999997</v>
      </c>
      <c r="G263">
        <v>25.448</v>
      </c>
      <c r="H263" t="b">
        <v>0</v>
      </c>
    </row>
    <row r="264" spans="1:10" x14ac:dyDescent="0.25">
      <c r="A264" t="s">
        <v>178</v>
      </c>
      <c r="B264">
        <v>144</v>
      </c>
      <c r="C264" t="s">
        <v>340</v>
      </c>
      <c r="D264">
        <v>20.786999999999999</v>
      </c>
      <c r="E264">
        <v>3</v>
      </c>
      <c r="F264">
        <v>25.448</v>
      </c>
      <c r="G264">
        <v>4.6609999999999996</v>
      </c>
      <c r="H264" t="b">
        <v>1</v>
      </c>
      <c r="I264">
        <v>4.6609999999999996</v>
      </c>
      <c r="J264" t="s">
        <v>197</v>
      </c>
    </row>
    <row r="265" spans="1:10" x14ac:dyDescent="0.25">
      <c r="A265" t="s">
        <v>178</v>
      </c>
      <c r="B265">
        <v>144</v>
      </c>
      <c r="C265" t="s">
        <v>379</v>
      </c>
      <c r="D265">
        <v>9.6129999999999995</v>
      </c>
      <c r="E265">
        <v>4</v>
      </c>
      <c r="F265">
        <v>144</v>
      </c>
      <c r="G265">
        <v>134.387</v>
      </c>
      <c r="H265" t="b">
        <v>0</v>
      </c>
    </row>
    <row r="266" spans="1:10" x14ac:dyDescent="0.25">
      <c r="A266" t="s">
        <v>178</v>
      </c>
      <c r="B266">
        <v>144</v>
      </c>
      <c r="C266" t="s">
        <v>380</v>
      </c>
      <c r="D266">
        <v>9.6129999999999995</v>
      </c>
      <c r="E266">
        <v>4</v>
      </c>
      <c r="F266">
        <v>134.387</v>
      </c>
      <c r="G266">
        <v>124.774</v>
      </c>
      <c r="H266" t="b">
        <v>1</v>
      </c>
      <c r="I266">
        <v>124.774</v>
      </c>
      <c r="J266" t="s">
        <v>187</v>
      </c>
    </row>
    <row r="267" spans="1:10" x14ac:dyDescent="0.25">
      <c r="A267" t="s">
        <v>179</v>
      </c>
      <c r="B267">
        <v>96</v>
      </c>
      <c r="C267" t="s">
        <v>244</v>
      </c>
      <c r="D267">
        <v>45.872</v>
      </c>
      <c r="E267">
        <v>1</v>
      </c>
      <c r="F267">
        <v>96</v>
      </c>
      <c r="G267">
        <v>50.128</v>
      </c>
      <c r="H267" t="b">
        <v>0</v>
      </c>
    </row>
    <row r="268" spans="1:10" x14ac:dyDescent="0.25">
      <c r="A268" t="s">
        <v>179</v>
      </c>
      <c r="B268">
        <v>96</v>
      </c>
      <c r="C268" t="s">
        <v>245</v>
      </c>
      <c r="D268">
        <v>45.872</v>
      </c>
      <c r="E268">
        <v>1</v>
      </c>
      <c r="F268">
        <v>50.128</v>
      </c>
      <c r="G268">
        <v>4.2560000000000002</v>
      </c>
      <c r="H268" t="b">
        <v>1</v>
      </c>
      <c r="I268">
        <v>4.2560000000000002</v>
      </c>
      <c r="J268" t="s">
        <v>197</v>
      </c>
    </row>
    <row r="269" spans="1:10" x14ac:dyDescent="0.25">
      <c r="A269" t="s">
        <v>179</v>
      </c>
      <c r="B269">
        <v>96</v>
      </c>
      <c r="C269" t="s">
        <v>466</v>
      </c>
      <c r="D269">
        <v>45.872</v>
      </c>
      <c r="E269">
        <v>2</v>
      </c>
      <c r="F269">
        <v>96</v>
      </c>
      <c r="G269">
        <v>50.128</v>
      </c>
      <c r="H269" t="b">
        <v>0</v>
      </c>
    </row>
    <row r="270" spans="1:10" x14ac:dyDescent="0.25">
      <c r="A270" t="s">
        <v>179</v>
      </c>
      <c r="B270">
        <v>96</v>
      </c>
      <c r="C270" t="s">
        <v>525</v>
      </c>
      <c r="D270">
        <v>45.872</v>
      </c>
      <c r="E270">
        <v>2</v>
      </c>
      <c r="F270">
        <v>50.128</v>
      </c>
      <c r="G270">
        <v>4.2560000000000002</v>
      </c>
      <c r="H270" t="b">
        <v>1</v>
      </c>
      <c r="I270">
        <v>4.2560000000000002</v>
      </c>
      <c r="J270" t="s">
        <v>197</v>
      </c>
    </row>
    <row r="271" spans="1:10" x14ac:dyDescent="0.25">
      <c r="A271" t="s">
        <v>179</v>
      </c>
      <c r="B271">
        <v>96</v>
      </c>
      <c r="C271" t="s">
        <v>526</v>
      </c>
      <c r="D271">
        <v>45.872</v>
      </c>
      <c r="E271">
        <v>3</v>
      </c>
      <c r="F271">
        <v>96</v>
      </c>
      <c r="G271">
        <v>50.128</v>
      </c>
      <c r="H271" t="b">
        <v>0</v>
      </c>
    </row>
    <row r="272" spans="1:10" x14ac:dyDescent="0.25">
      <c r="A272" t="s">
        <v>179</v>
      </c>
      <c r="B272">
        <v>96</v>
      </c>
      <c r="C272" t="s">
        <v>527</v>
      </c>
      <c r="D272">
        <v>45.872</v>
      </c>
      <c r="E272">
        <v>3</v>
      </c>
      <c r="F272">
        <v>50.128</v>
      </c>
      <c r="G272">
        <v>4.2560000000000002</v>
      </c>
      <c r="H272" t="b">
        <v>1</v>
      </c>
      <c r="I272">
        <v>4.2560000000000002</v>
      </c>
      <c r="J272" t="s">
        <v>197</v>
      </c>
    </row>
    <row r="273" spans="1:10" x14ac:dyDescent="0.25">
      <c r="A273" t="s">
        <v>179</v>
      </c>
      <c r="B273">
        <v>96</v>
      </c>
      <c r="C273" t="s">
        <v>330</v>
      </c>
      <c r="D273">
        <v>45.23</v>
      </c>
      <c r="E273">
        <v>4</v>
      </c>
      <c r="F273">
        <v>96</v>
      </c>
      <c r="G273">
        <v>50.77</v>
      </c>
      <c r="H273" t="b">
        <v>0</v>
      </c>
    </row>
    <row r="274" spans="1:10" x14ac:dyDescent="0.25">
      <c r="A274" t="s">
        <v>179</v>
      </c>
      <c r="B274">
        <v>96</v>
      </c>
      <c r="C274" t="s">
        <v>331</v>
      </c>
      <c r="D274">
        <v>45.23</v>
      </c>
      <c r="E274">
        <v>4</v>
      </c>
      <c r="F274">
        <v>50.77</v>
      </c>
      <c r="G274">
        <v>5.54</v>
      </c>
      <c r="H274" t="b">
        <v>1</v>
      </c>
      <c r="I274">
        <v>5.54</v>
      </c>
      <c r="J274" t="s">
        <v>197</v>
      </c>
    </row>
    <row r="275" spans="1:10" x14ac:dyDescent="0.25">
      <c r="A275" t="s">
        <v>179</v>
      </c>
      <c r="B275">
        <v>96</v>
      </c>
      <c r="C275" t="s">
        <v>332</v>
      </c>
      <c r="D275">
        <v>45.23</v>
      </c>
      <c r="E275">
        <v>5</v>
      </c>
      <c r="F275">
        <v>96</v>
      </c>
      <c r="G275">
        <v>50.77</v>
      </c>
      <c r="H275" t="b">
        <v>0</v>
      </c>
    </row>
    <row r="276" spans="1:10" x14ac:dyDescent="0.25">
      <c r="A276" t="s">
        <v>179</v>
      </c>
      <c r="B276">
        <v>96</v>
      </c>
      <c r="C276" t="s">
        <v>333</v>
      </c>
      <c r="D276">
        <v>45.23</v>
      </c>
      <c r="E276">
        <v>5</v>
      </c>
      <c r="F276">
        <v>50.77</v>
      </c>
      <c r="G276">
        <v>5.54</v>
      </c>
      <c r="H276" t="b">
        <v>1</v>
      </c>
      <c r="I276">
        <v>5.54</v>
      </c>
      <c r="J276" t="s">
        <v>197</v>
      </c>
    </row>
    <row r="277" spans="1:10" x14ac:dyDescent="0.25">
      <c r="A277" t="s">
        <v>179</v>
      </c>
      <c r="B277">
        <v>96</v>
      </c>
      <c r="C277" t="s">
        <v>334</v>
      </c>
      <c r="D277">
        <v>45.23</v>
      </c>
      <c r="E277">
        <v>6</v>
      </c>
      <c r="F277">
        <v>96</v>
      </c>
      <c r="G277">
        <v>50.77</v>
      </c>
      <c r="H277" t="b">
        <v>0</v>
      </c>
    </row>
    <row r="278" spans="1:10" x14ac:dyDescent="0.25">
      <c r="A278" t="s">
        <v>179</v>
      </c>
      <c r="B278">
        <v>96</v>
      </c>
      <c r="C278" t="s">
        <v>267</v>
      </c>
      <c r="D278">
        <v>42.354999999999997</v>
      </c>
      <c r="E278">
        <v>6</v>
      </c>
      <c r="F278">
        <v>50.77</v>
      </c>
      <c r="G278">
        <v>8.4149999999999991</v>
      </c>
      <c r="H278" t="b">
        <v>0</v>
      </c>
    </row>
    <row r="279" spans="1:10" x14ac:dyDescent="0.25">
      <c r="A279" t="s">
        <v>179</v>
      </c>
      <c r="B279">
        <v>96</v>
      </c>
      <c r="C279" t="s">
        <v>268</v>
      </c>
      <c r="D279">
        <v>42.354999999999997</v>
      </c>
      <c r="E279">
        <v>7</v>
      </c>
      <c r="F279">
        <v>96</v>
      </c>
      <c r="G279">
        <v>53.645000000000003</v>
      </c>
      <c r="H279" t="b">
        <v>0</v>
      </c>
    </row>
    <row r="280" spans="1:10" x14ac:dyDescent="0.25">
      <c r="A280" t="s">
        <v>179</v>
      </c>
      <c r="B280">
        <v>96</v>
      </c>
      <c r="C280" t="s">
        <v>269</v>
      </c>
      <c r="D280">
        <v>42.354999999999997</v>
      </c>
      <c r="E280">
        <v>7</v>
      </c>
      <c r="F280">
        <v>53.645000000000003</v>
      </c>
      <c r="G280">
        <v>11.29</v>
      </c>
      <c r="H280" t="b">
        <v>1</v>
      </c>
      <c r="I280">
        <v>11.29</v>
      </c>
      <c r="J280" t="s">
        <v>197</v>
      </c>
    </row>
    <row r="281" spans="1:10" x14ac:dyDescent="0.25">
      <c r="A281" t="s">
        <v>179</v>
      </c>
      <c r="B281">
        <v>96</v>
      </c>
      <c r="C281" t="s">
        <v>270</v>
      </c>
      <c r="D281">
        <v>42.354999999999997</v>
      </c>
      <c r="E281">
        <v>8</v>
      </c>
      <c r="F281">
        <v>96</v>
      </c>
      <c r="G281">
        <v>53.645000000000003</v>
      </c>
      <c r="H281" t="b">
        <v>0</v>
      </c>
    </row>
    <row r="282" spans="1:10" x14ac:dyDescent="0.25">
      <c r="A282" t="s">
        <v>179</v>
      </c>
      <c r="B282">
        <v>96</v>
      </c>
      <c r="C282" t="s">
        <v>266</v>
      </c>
      <c r="D282">
        <v>40.667000000000002</v>
      </c>
      <c r="E282">
        <v>8</v>
      </c>
      <c r="F282">
        <v>53.645000000000003</v>
      </c>
      <c r="G282">
        <v>12.978</v>
      </c>
      <c r="H282" t="b">
        <v>1</v>
      </c>
      <c r="I282">
        <v>12.978</v>
      </c>
      <c r="J282" t="s">
        <v>187</v>
      </c>
    </row>
    <row r="283" spans="1:10" x14ac:dyDescent="0.25">
      <c r="A283" t="s">
        <v>179</v>
      </c>
      <c r="B283">
        <v>96</v>
      </c>
      <c r="C283" t="s">
        <v>517</v>
      </c>
      <c r="D283">
        <v>40.667000000000002</v>
      </c>
      <c r="E283">
        <v>9</v>
      </c>
      <c r="F283">
        <v>96</v>
      </c>
      <c r="G283">
        <v>55.332999999999998</v>
      </c>
      <c r="H283" t="b">
        <v>0</v>
      </c>
    </row>
    <row r="284" spans="1:10" x14ac:dyDescent="0.25">
      <c r="A284" t="s">
        <v>179</v>
      </c>
      <c r="B284">
        <v>96</v>
      </c>
      <c r="C284" t="s">
        <v>518</v>
      </c>
      <c r="D284">
        <v>40.667000000000002</v>
      </c>
      <c r="E284">
        <v>9</v>
      </c>
      <c r="F284">
        <v>55.332999999999998</v>
      </c>
      <c r="G284">
        <v>14.666</v>
      </c>
      <c r="H284" t="b">
        <v>1</v>
      </c>
      <c r="I284">
        <v>14.666</v>
      </c>
      <c r="J284" t="s">
        <v>187</v>
      </c>
    </row>
    <row r="285" spans="1:10" x14ac:dyDescent="0.25">
      <c r="A285" t="s">
        <v>179</v>
      </c>
      <c r="B285">
        <v>96</v>
      </c>
      <c r="C285" t="s">
        <v>519</v>
      </c>
      <c r="D285">
        <v>40.667000000000002</v>
      </c>
      <c r="E285">
        <v>10</v>
      </c>
      <c r="F285">
        <v>96</v>
      </c>
      <c r="G285">
        <v>55.332999999999998</v>
      </c>
      <c r="H285" t="b">
        <v>0</v>
      </c>
    </row>
    <row r="286" spans="1:10" x14ac:dyDescent="0.25">
      <c r="A286" t="s">
        <v>179</v>
      </c>
      <c r="B286">
        <v>96</v>
      </c>
      <c r="C286" t="s">
        <v>520</v>
      </c>
      <c r="D286">
        <v>40.667000000000002</v>
      </c>
      <c r="E286">
        <v>10</v>
      </c>
      <c r="F286">
        <v>55.332999999999998</v>
      </c>
      <c r="G286">
        <v>14.666</v>
      </c>
      <c r="H286" t="b">
        <v>1</v>
      </c>
      <c r="I286">
        <v>14.666</v>
      </c>
      <c r="J286" t="s">
        <v>187</v>
      </c>
    </row>
    <row r="287" spans="1:10" x14ac:dyDescent="0.25">
      <c r="A287" t="s">
        <v>179</v>
      </c>
      <c r="B287">
        <v>96</v>
      </c>
      <c r="C287" t="s">
        <v>378</v>
      </c>
      <c r="D287">
        <v>7.8230000000000004</v>
      </c>
      <c r="E287">
        <v>6</v>
      </c>
      <c r="F287">
        <v>8.4149999999999991</v>
      </c>
      <c r="G287">
        <v>0.59199999999999997</v>
      </c>
      <c r="H287" t="b">
        <v>1</v>
      </c>
      <c r="I287">
        <v>0.59199999999999997</v>
      </c>
      <c r="J287" t="s">
        <v>197</v>
      </c>
    </row>
    <row r="288" spans="1:10" x14ac:dyDescent="0.25">
      <c r="A288" t="s">
        <v>180</v>
      </c>
      <c r="B288">
        <v>144</v>
      </c>
      <c r="C288" t="s">
        <v>282</v>
      </c>
      <c r="D288">
        <v>35.024999999999999</v>
      </c>
      <c r="E288">
        <v>1</v>
      </c>
      <c r="F288">
        <v>144</v>
      </c>
      <c r="G288">
        <v>108.97499999999999</v>
      </c>
      <c r="H288" t="b">
        <v>0</v>
      </c>
    </row>
    <row r="289" spans="1:10" x14ac:dyDescent="0.25">
      <c r="A289" t="s">
        <v>180</v>
      </c>
      <c r="B289">
        <v>144</v>
      </c>
      <c r="C289" t="s">
        <v>356</v>
      </c>
      <c r="D289">
        <v>32.479999999999997</v>
      </c>
      <c r="E289">
        <v>1</v>
      </c>
      <c r="F289">
        <v>108.97499999999999</v>
      </c>
      <c r="G289">
        <v>76.495000000000005</v>
      </c>
      <c r="H289" t="b">
        <v>0</v>
      </c>
    </row>
    <row r="290" spans="1:10" x14ac:dyDescent="0.25">
      <c r="A290" t="s">
        <v>180</v>
      </c>
      <c r="B290">
        <v>144</v>
      </c>
      <c r="C290" t="s">
        <v>357</v>
      </c>
      <c r="D290">
        <v>32.479999999999997</v>
      </c>
      <c r="E290">
        <v>1</v>
      </c>
      <c r="F290">
        <v>76.495000000000005</v>
      </c>
      <c r="G290">
        <v>44.015000000000001</v>
      </c>
      <c r="H290" t="b">
        <v>0</v>
      </c>
    </row>
    <row r="291" spans="1:10" x14ac:dyDescent="0.25">
      <c r="A291" t="s">
        <v>180</v>
      </c>
      <c r="B291">
        <v>144</v>
      </c>
      <c r="C291" t="s">
        <v>358</v>
      </c>
      <c r="D291">
        <v>32.479999999999997</v>
      </c>
      <c r="E291">
        <v>1</v>
      </c>
      <c r="F291">
        <v>44.015000000000001</v>
      </c>
      <c r="G291">
        <v>11.535</v>
      </c>
      <c r="H291" t="b">
        <v>0</v>
      </c>
    </row>
    <row r="292" spans="1:10" x14ac:dyDescent="0.25">
      <c r="A292" t="s">
        <v>180</v>
      </c>
      <c r="B292">
        <v>144</v>
      </c>
      <c r="C292" t="s">
        <v>359</v>
      </c>
      <c r="D292">
        <v>32.479999999999997</v>
      </c>
      <c r="E292">
        <v>2</v>
      </c>
      <c r="F292">
        <v>144</v>
      </c>
      <c r="G292">
        <v>111.52</v>
      </c>
      <c r="H292" t="b">
        <v>0</v>
      </c>
    </row>
    <row r="293" spans="1:10" x14ac:dyDescent="0.25">
      <c r="A293" t="s">
        <v>180</v>
      </c>
      <c r="B293">
        <v>144</v>
      </c>
      <c r="C293" t="s">
        <v>360</v>
      </c>
      <c r="D293">
        <v>32.479999999999997</v>
      </c>
      <c r="E293">
        <v>2</v>
      </c>
      <c r="F293">
        <v>111.52</v>
      </c>
      <c r="G293">
        <v>79.040000000000006</v>
      </c>
      <c r="H293" t="b">
        <v>0</v>
      </c>
    </row>
    <row r="294" spans="1:10" x14ac:dyDescent="0.25">
      <c r="A294" t="s">
        <v>180</v>
      </c>
      <c r="B294">
        <v>144</v>
      </c>
      <c r="C294" t="s">
        <v>361</v>
      </c>
      <c r="D294">
        <v>32.479999999999997</v>
      </c>
      <c r="E294">
        <v>2</v>
      </c>
      <c r="F294">
        <v>79.040000000000006</v>
      </c>
      <c r="G294">
        <v>46.56</v>
      </c>
      <c r="H294" t="b">
        <v>0</v>
      </c>
    </row>
    <row r="295" spans="1:10" x14ac:dyDescent="0.25">
      <c r="A295" t="s">
        <v>180</v>
      </c>
      <c r="B295">
        <v>144</v>
      </c>
      <c r="C295" t="s">
        <v>391</v>
      </c>
      <c r="D295">
        <v>16.384</v>
      </c>
      <c r="E295">
        <v>2</v>
      </c>
      <c r="F295">
        <v>46.56</v>
      </c>
      <c r="G295">
        <v>30.175999999999998</v>
      </c>
      <c r="H295" t="b">
        <v>0</v>
      </c>
    </row>
    <row r="296" spans="1:10" x14ac:dyDescent="0.25">
      <c r="A296" t="s">
        <v>180</v>
      </c>
      <c r="B296">
        <v>144</v>
      </c>
      <c r="C296" t="s">
        <v>392</v>
      </c>
      <c r="D296">
        <v>16.384</v>
      </c>
      <c r="E296">
        <v>2</v>
      </c>
      <c r="F296">
        <v>30.175999999999998</v>
      </c>
      <c r="G296">
        <v>13.792</v>
      </c>
      <c r="H296" t="b">
        <v>0</v>
      </c>
    </row>
    <row r="297" spans="1:10" x14ac:dyDescent="0.25">
      <c r="A297" t="s">
        <v>180</v>
      </c>
      <c r="B297">
        <v>144</v>
      </c>
      <c r="C297" t="s">
        <v>393</v>
      </c>
      <c r="D297">
        <v>16.384</v>
      </c>
      <c r="E297">
        <v>3</v>
      </c>
      <c r="F297">
        <v>144</v>
      </c>
      <c r="G297">
        <v>127.616</v>
      </c>
      <c r="H297" t="b">
        <v>0</v>
      </c>
    </row>
    <row r="298" spans="1:10" x14ac:dyDescent="0.25">
      <c r="A298" t="s">
        <v>180</v>
      </c>
      <c r="B298">
        <v>144</v>
      </c>
      <c r="C298" t="s">
        <v>394</v>
      </c>
      <c r="D298">
        <v>16.384</v>
      </c>
      <c r="E298">
        <v>3</v>
      </c>
      <c r="F298">
        <v>127.616</v>
      </c>
      <c r="G298">
        <v>111.232</v>
      </c>
      <c r="H298" t="b">
        <v>0</v>
      </c>
    </row>
    <row r="299" spans="1:10" x14ac:dyDescent="0.25">
      <c r="A299" t="s">
        <v>180</v>
      </c>
      <c r="B299">
        <v>144</v>
      </c>
      <c r="C299" t="s">
        <v>395</v>
      </c>
      <c r="D299">
        <v>16.384</v>
      </c>
      <c r="E299">
        <v>3</v>
      </c>
      <c r="F299">
        <v>111.232</v>
      </c>
      <c r="G299">
        <v>94.847999999999999</v>
      </c>
      <c r="H299" t="b">
        <v>0</v>
      </c>
    </row>
    <row r="300" spans="1:10" x14ac:dyDescent="0.25">
      <c r="A300" t="s">
        <v>180</v>
      </c>
      <c r="B300">
        <v>144</v>
      </c>
      <c r="C300" t="s">
        <v>553</v>
      </c>
      <c r="D300">
        <v>16.384</v>
      </c>
      <c r="E300">
        <v>3</v>
      </c>
      <c r="F300">
        <v>94.847999999999999</v>
      </c>
      <c r="G300">
        <v>78.463999999999999</v>
      </c>
      <c r="H300" t="b">
        <v>0</v>
      </c>
    </row>
    <row r="301" spans="1:10" x14ac:dyDescent="0.25">
      <c r="A301" t="s">
        <v>180</v>
      </c>
      <c r="B301">
        <v>144</v>
      </c>
      <c r="C301" t="s">
        <v>291</v>
      </c>
      <c r="D301">
        <v>14.159000000000001</v>
      </c>
      <c r="E301">
        <v>3</v>
      </c>
      <c r="F301">
        <v>78.463999999999999</v>
      </c>
      <c r="G301">
        <v>64.305000000000007</v>
      </c>
      <c r="H301" t="b">
        <v>0</v>
      </c>
    </row>
    <row r="302" spans="1:10" x14ac:dyDescent="0.25">
      <c r="A302" t="s">
        <v>180</v>
      </c>
      <c r="B302">
        <v>144</v>
      </c>
      <c r="C302" t="s">
        <v>292</v>
      </c>
      <c r="D302">
        <v>14.159000000000001</v>
      </c>
      <c r="E302">
        <v>3</v>
      </c>
      <c r="F302">
        <v>64.305000000000007</v>
      </c>
      <c r="G302">
        <v>50.146000000000001</v>
      </c>
      <c r="H302" t="b">
        <v>0</v>
      </c>
    </row>
    <row r="303" spans="1:10" x14ac:dyDescent="0.25">
      <c r="A303" t="s">
        <v>180</v>
      </c>
      <c r="B303">
        <v>144</v>
      </c>
      <c r="C303" t="s">
        <v>293</v>
      </c>
      <c r="D303">
        <v>14.159000000000001</v>
      </c>
      <c r="E303">
        <v>3</v>
      </c>
      <c r="F303">
        <v>50.146000000000001</v>
      </c>
      <c r="G303">
        <v>35.987000000000002</v>
      </c>
      <c r="H303" t="b">
        <v>0</v>
      </c>
    </row>
    <row r="304" spans="1:10" x14ac:dyDescent="0.25">
      <c r="A304" t="s">
        <v>180</v>
      </c>
      <c r="B304">
        <v>144</v>
      </c>
      <c r="C304" t="s">
        <v>425</v>
      </c>
      <c r="D304">
        <v>12.945</v>
      </c>
      <c r="E304">
        <v>2</v>
      </c>
      <c r="F304">
        <v>13.792</v>
      </c>
      <c r="G304">
        <v>0.84699999999999998</v>
      </c>
      <c r="H304" t="b">
        <v>1</v>
      </c>
      <c r="I304">
        <v>0.84699999999999998</v>
      </c>
      <c r="J304" t="s">
        <v>197</v>
      </c>
    </row>
    <row r="305" spans="1:10" x14ac:dyDescent="0.25">
      <c r="A305" t="s">
        <v>180</v>
      </c>
      <c r="B305">
        <v>144</v>
      </c>
      <c r="C305" t="s">
        <v>426</v>
      </c>
      <c r="D305">
        <v>12.945</v>
      </c>
      <c r="E305">
        <v>3</v>
      </c>
      <c r="F305">
        <v>35.987000000000002</v>
      </c>
      <c r="G305">
        <v>23.042000000000002</v>
      </c>
      <c r="H305" t="b">
        <v>0</v>
      </c>
    </row>
    <row r="306" spans="1:10" x14ac:dyDescent="0.25">
      <c r="A306" t="s">
        <v>180</v>
      </c>
      <c r="B306">
        <v>144</v>
      </c>
      <c r="C306" t="s">
        <v>427</v>
      </c>
      <c r="D306">
        <v>12.945</v>
      </c>
      <c r="E306">
        <v>3</v>
      </c>
      <c r="F306">
        <v>23.042000000000002</v>
      </c>
      <c r="G306">
        <v>10.097</v>
      </c>
      <c r="H306" t="b">
        <v>0</v>
      </c>
    </row>
    <row r="307" spans="1:10" x14ac:dyDescent="0.25">
      <c r="A307" t="s">
        <v>180</v>
      </c>
      <c r="B307">
        <v>144</v>
      </c>
      <c r="C307" t="s">
        <v>324</v>
      </c>
      <c r="D307">
        <v>5.5620000000000003</v>
      </c>
      <c r="E307">
        <v>3</v>
      </c>
      <c r="F307">
        <v>10.097</v>
      </c>
      <c r="G307">
        <v>4.5350000000000001</v>
      </c>
      <c r="H307" t="b">
        <v>1</v>
      </c>
      <c r="I307">
        <v>4.5350000000000001</v>
      </c>
      <c r="J307" t="s">
        <v>197</v>
      </c>
    </row>
    <row r="308" spans="1:10" x14ac:dyDescent="0.25">
      <c r="A308" t="s">
        <v>180</v>
      </c>
      <c r="B308">
        <v>144</v>
      </c>
      <c r="C308" t="s">
        <v>325</v>
      </c>
      <c r="D308">
        <v>5.5620000000000003</v>
      </c>
      <c r="E308">
        <v>1</v>
      </c>
      <c r="F308">
        <v>11.535</v>
      </c>
      <c r="G308">
        <v>5.9729999999999999</v>
      </c>
      <c r="H308" t="b">
        <v>0</v>
      </c>
    </row>
    <row r="309" spans="1:10" x14ac:dyDescent="0.25">
      <c r="A309" t="s">
        <v>180</v>
      </c>
      <c r="B309">
        <v>144</v>
      </c>
      <c r="C309" t="s">
        <v>326</v>
      </c>
      <c r="D309">
        <v>5.5620000000000003</v>
      </c>
      <c r="E309">
        <v>1</v>
      </c>
      <c r="F309">
        <v>5.9729999999999999</v>
      </c>
      <c r="G309">
        <v>0.41099999999999998</v>
      </c>
      <c r="H309" t="b">
        <v>1</v>
      </c>
      <c r="I309">
        <v>0.41099999999999998</v>
      </c>
      <c r="J309" t="s">
        <v>197</v>
      </c>
    </row>
    <row r="310" spans="1:10" x14ac:dyDescent="0.25">
      <c r="A310" t="s">
        <v>180</v>
      </c>
      <c r="B310">
        <v>144</v>
      </c>
      <c r="C310" t="s">
        <v>327</v>
      </c>
      <c r="D310">
        <v>5.5620000000000003</v>
      </c>
      <c r="E310">
        <v>4</v>
      </c>
      <c r="F310">
        <v>144</v>
      </c>
      <c r="G310">
        <v>138.43799999999999</v>
      </c>
      <c r="H310" t="b">
        <v>0</v>
      </c>
    </row>
    <row r="311" spans="1:10" x14ac:dyDescent="0.25">
      <c r="A311" t="s">
        <v>180</v>
      </c>
      <c r="B311">
        <v>144</v>
      </c>
      <c r="C311" t="s">
        <v>328</v>
      </c>
      <c r="D311">
        <v>5.5620000000000003</v>
      </c>
      <c r="E311">
        <v>4</v>
      </c>
      <c r="F311">
        <v>138.43799999999999</v>
      </c>
      <c r="G311">
        <v>132.876</v>
      </c>
      <c r="H311" t="b">
        <v>0</v>
      </c>
    </row>
    <row r="312" spans="1:10" x14ac:dyDescent="0.25">
      <c r="A312" t="s">
        <v>180</v>
      </c>
      <c r="B312">
        <v>144</v>
      </c>
      <c r="C312" t="s">
        <v>554</v>
      </c>
      <c r="D312">
        <v>5.5620000000000003</v>
      </c>
      <c r="E312">
        <v>4</v>
      </c>
      <c r="F312">
        <v>132.876</v>
      </c>
      <c r="G312">
        <v>127.31399999999999</v>
      </c>
      <c r="H312" t="b">
        <v>1</v>
      </c>
      <c r="I312">
        <v>127.31399999999999</v>
      </c>
      <c r="J312" t="s">
        <v>187</v>
      </c>
    </row>
    <row r="313" spans="1:10" x14ac:dyDescent="0.25">
      <c r="A313" t="s">
        <v>181</v>
      </c>
      <c r="B313">
        <v>96</v>
      </c>
      <c r="C313" t="s">
        <v>316</v>
      </c>
      <c r="D313">
        <v>46.524999999999999</v>
      </c>
      <c r="E313">
        <v>1</v>
      </c>
      <c r="F313">
        <v>96</v>
      </c>
      <c r="G313">
        <v>49.475000000000001</v>
      </c>
      <c r="H313" t="b">
        <v>0</v>
      </c>
    </row>
    <row r="314" spans="1:10" x14ac:dyDescent="0.25">
      <c r="A314" t="s">
        <v>181</v>
      </c>
      <c r="B314">
        <v>96</v>
      </c>
      <c r="C314" t="s">
        <v>492</v>
      </c>
      <c r="D314">
        <v>46.524999999999999</v>
      </c>
      <c r="E314">
        <v>1</v>
      </c>
      <c r="F314">
        <v>49.475000000000001</v>
      </c>
      <c r="G314">
        <v>2.95</v>
      </c>
      <c r="H314" t="b">
        <v>1</v>
      </c>
      <c r="I314">
        <v>2.95</v>
      </c>
      <c r="J314" t="s">
        <v>197</v>
      </c>
    </row>
    <row r="315" spans="1:10" x14ac:dyDescent="0.25">
      <c r="A315" t="s">
        <v>181</v>
      </c>
      <c r="B315">
        <v>96</v>
      </c>
      <c r="C315" t="s">
        <v>353</v>
      </c>
      <c r="D315">
        <v>31.733000000000001</v>
      </c>
      <c r="E315">
        <v>2</v>
      </c>
      <c r="F315">
        <v>96</v>
      </c>
      <c r="G315">
        <v>64.266999999999996</v>
      </c>
      <c r="H315" t="b">
        <v>0</v>
      </c>
    </row>
    <row r="316" spans="1:10" x14ac:dyDescent="0.25">
      <c r="A316" t="s">
        <v>181</v>
      </c>
      <c r="B316">
        <v>96</v>
      </c>
      <c r="C316" t="s">
        <v>189</v>
      </c>
      <c r="D316">
        <v>30.132000000000001</v>
      </c>
      <c r="E316">
        <v>2</v>
      </c>
      <c r="F316">
        <v>64.266999999999996</v>
      </c>
      <c r="G316">
        <v>34.134999999999998</v>
      </c>
      <c r="H316" t="b">
        <v>0</v>
      </c>
    </row>
    <row r="317" spans="1:10" x14ac:dyDescent="0.25">
      <c r="A317" t="s">
        <v>181</v>
      </c>
      <c r="B317">
        <v>96</v>
      </c>
      <c r="C317" t="s">
        <v>190</v>
      </c>
      <c r="D317">
        <v>30.132000000000001</v>
      </c>
      <c r="E317">
        <v>2</v>
      </c>
      <c r="F317">
        <v>34.134999999999998</v>
      </c>
      <c r="G317">
        <v>4.0030000000000001</v>
      </c>
      <c r="H317" t="b">
        <v>1</v>
      </c>
      <c r="I317">
        <v>4.0030000000000001</v>
      </c>
      <c r="J317" t="s">
        <v>197</v>
      </c>
    </row>
    <row r="318" spans="1:10" x14ac:dyDescent="0.25">
      <c r="A318" t="s">
        <v>181</v>
      </c>
      <c r="B318">
        <v>96</v>
      </c>
      <c r="C318" t="s">
        <v>191</v>
      </c>
      <c r="D318">
        <v>30.132000000000001</v>
      </c>
      <c r="E318">
        <v>3</v>
      </c>
      <c r="F318">
        <v>96</v>
      </c>
      <c r="G318">
        <v>65.867999999999995</v>
      </c>
      <c r="H318" t="b">
        <v>0</v>
      </c>
    </row>
    <row r="319" spans="1:10" x14ac:dyDescent="0.25">
      <c r="A319" t="s">
        <v>181</v>
      </c>
      <c r="B319">
        <v>96</v>
      </c>
      <c r="C319" t="s">
        <v>192</v>
      </c>
      <c r="D319">
        <v>30.132000000000001</v>
      </c>
      <c r="E319">
        <v>3</v>
      </c>
      <c r="F319">
        <v>65.867999999999995</v>
      </c>
      <c r="G319">
        <v>35.735999999999997</v>
      </c>
      <c r="H319" t="b">
        <v>0</v>
      </c>
    </row>
    <row r="320" spans="1:10" x14ac:dyDescent="0.25">
      <c r="A320" t="s">
        <v>181</v>
      </c>
      <c r="B320">
        <v>96</v>
      </c>
      <c r="C320" t="s">
        <v>416</v>
      </c>
      <c r="D320">
        <v>22.56</v>
      </c>
      <c r="E320">
        <v>3</v>
      </c>
      <c r="F320">
        <v>35.735999999999997</v>
      </c>
      <c r="G320">
        <v>13.176</v>
      </c>
      <c r="H320" t="b">
        <v>0</v>
      </c>
    </row>
    <row r="321" spans="1:10" x14ac:dyDescent="0.25">
      <c r="A321" t="s">
        <v>181</v>
      </c>
      <c r="B321">
        <v>96</v>
      </c>
      <c r="C321" t="s">
        <v>428</v>
      </c>
      <c r="D321">
        <v>12.167999999999999</v>
      </c>
      <c r="E321">
        <v>3</v>
      </c>
      <c r="F321">
        <v>13.176</v>
      </c>
      <c r="G321">
        <v>1.008</v>
      </c>
      <c r="H321" t="b">
        <v>1</v>
      </c>
      <c r="I321">
        <v>1.008</v>
      </c>
      <c r="J321" t="s">
        <v>197</v>
      </c>
    </row>
    <row r="322" spans="1:10" x14ac:dyDescent="0.25">
      <c r="A322" t="s">
        <v>181</v>
      </c>
      <c r="B322">
        <v>96</v>
      </c>
      <c r="C322" t="s">
        <v>429</v>
      </c>
      <c r="D322">
        <v>12.167999999999999</v>
      </c>
      <c r="E322">
        <v>4</v>
      </c>
      <c r="F322">
        <v>96</v>
      </c>
      <c r="G322">
        <v>83.831999999999994</v>
      </c>
      <c r="H322" t="b">
        <v>0</v>
      </c>
    </row>
    <row r="323" spans="1:10" x14ac:dyDescent="0.25">
      <c r="A323" t="s">
        <v>181</v>
      </c>
      <c r="B323">
        <v>96</v>
      </c>
      <c r="C323" t="s">
        <v>227</v>
      </c>
      <c r="D323">
        <v>6.6890000000000001</v>
      </c>
      <c r="E323">
        <v>4</v>
      </c>
      <c r="F323">
        <v>83.831999999999994</v>
      </c>
      <c r="G323">
        <v>77.143000000000001</v>
      </c>
      <c r="H323" t="b">
        <v>0</v>
      </c>
    </row>
    <row r="324" spans="1:10" x14ac:dyDescent="0.25">
      <c r="A324" t="s">
        <v>181</v>
      </c>
      <c r="B324">
        <v>96</v>
      </c>
      <c r="C324" t="s">
        <v>443</v>
      </c>
      <c r="D324">
        <v>4.1059999999999999</v>
      </c>
      <c r="E324">
        <v>4</v>
      </c>
      <c r="F324">
        <v>77.143000000000001</v>
      </c>
      <c r="G324">
        <v>73.037000000000006</v>
      </c>
      <c r="H324" t="b">
        <v>0</v>
      </c>
    </row>
    <row r="325" spans="1:10" x14ac:dyDescent="0.25">
      <c r="A325" t="s">
        <v>181</v>
      </c>
      <c r="B325">
        <v>96</v>
      </c>
      <c r="C325" t="s">
        <v>444</v>
      </c>
      <c r="D325">
        <v>4.1059999999999999</v>
      </c>
      <c r="E325">
        <v>4</v>
      </c>
      <c r="F325">
        <v>73.037000000000006</v>
      </c>
      <c r="G325">
        <v>68.930999999999997</v>
      </c>
      <c r="H325" t="b">
        <v>0</v>
      </c>
    </row>
    <row r="326" spans="1:10" x14ac:dyDescent="0.25">
      <c r="A326" t="s">
        <v>181</v>
      </c>
      <c r="B326">
        <v>96</v>
      </c>
      <c r="C326" t="s">
        <v>445</v>
      </c>
      <c r="D326">
        <v>4.1059999999999999</v>
      </c>
      <c r="E326">
        <v>4</v>
      </c>
      <c r="F326">
        <v>68.930999999999997</v>
      </c>
      <c r="G326">
        <v>64.825000000000003</v>
      </c>
      <c r="H326" t="b">
        <v>0</v>
      </c>
    </row>
    <row r="327" spans="1:10" x14ac:dyDescent="0.25">
      <c r="A327" t="s">
        <v>181</v>
      </c>
      <c r="B327">
        <v>96</v>
      </c>
      <c r="C327" t="s">
        <v>446</v>
      </c>
      <c r="D327">
        <v>4.1059999999999999</v>
      </c>
      <c r="E327">
        <v>4</v>
      </c>
      <c r="F327">
        <v>64.825000000000003</v>
      </c>
      <c r="G327">
        <v>60.719000000000001</v>
      </c>
      <c r="H327" t="b">
        <v>0</v>
      </c>
    </row>
    <row r="328" spans="1:10" x14ac:dyDescent="0.25">
      <c r="A328" t="s">
        <v>181</v>
      </c>
      <c r="B328">
        <v>96</v>
      </c>
      <c r="C328" t="s">
        <v>447</v>
      </c>
      <c r="D328">
        <v>4.1059999999999999</v>
      </c>
      <c r="E328">
        <v>4</v>
      </c>
      <c r="F328">
        <v>60.719000000000001</v>
      </c>
      <c r="G328">
        <v>56.613</v>
      </c>
      <c r="H328" t="b">
        <v>1</v>
      </c>
      <c r="I328">
        <v>56.613</v>
      </c>
      <c r="J328" t="s">
        <v>187</v>
      </c>
    </row>
    <row r="329" spans="1:10" x14ac:dyDescent="0.25">
      <c r="A329" t="s">
        <v>182</v>
      </c>
      <c r="B329">
        <v>144</v>
      </c>
      <c r="C329" t="s">
        <v>298</v>
      </c>
      <c r="D329">
        <v>39.506</v>
      </c>
      <c r="E329">
        <v>1</v>
      </c>
      <c r="F329">
        <v>144</v>
      </c>
      <c r="G329">
        <v>104.494</v>
      </c>
      <c r="H329" t="b">
        <v>0</v>
      </c>
    </row>
    <row r="330" spans="1:10" x14ac:dyDescent="0.25">
      <c r="A330" t="s">
        <v>182</v>
      </c>
      <c r="B330">
        <v>144</v>
      </c>
      <c r="C330" t="s">
        <v>459</v>
      </c>
      <c r="D330">
        <v>39.506</v>
      </c>
      <c r="E330">
        <v>1</v>
      </c>
      <c r="F330">
        <v>104.494</v>
      </c>
      <c r="G330">
        <v>64.988</v>
      </c>
      <c r="H330" t="b">
        <v>0</v>
      </c>
    </row>
    <row r="331" spans="1:10" x14ac:dyDescent="0.25">
      <c r="A331" t="s">
        <v>182</v>
      </c>
      <c r="B331">
        <v>144</v>
      </c>
      <c r="C331" t="s">
        <v>460</v>
      </c>
      <c r="D331">
        <v>39.506</v>
      </c>
      <c r="E331">
        <v>1</v>
      </c>
      <c r="F331">
        <v>64.988</v>
      </c>
      <c r="G331">
        <v>25.481999999999999</v>
      </c>
      <c r="H331" t="b">
        <v>0</v>
      </c>
    </row>
    <row r="332" spans="1:10" x14ac:dyDescent="0.25">
      <c r="A332" t="s">
        <v>182</v>
      </c>
      <c r="B332">
        <v>144</v>
      </c>
      <c r="C332" t="s">
        <v>201</v>
      </c>
      <c r="D332">
        <v>26.419</v>
      </c>
      <c r="E332">
        <v>2</v>
      </c>
      <c r="F332">
        <v>144</v>
      </c>
      <c r="G332">
        <v>117.581</v>
      </c>
      <c r="H332" t="b">
        <v>0</v>
      </c>
    </row>
    <row r="333" spans="1:10" x14ac:dyDescent="0.25">
      <c r="A333" t="s">
        <v>182</v>
      </c>
      <c r="B333">
        <v>144</v>
      </c>
      <c r="C333" t="s">
        <v>280</v>
      </c>
      <c r="D333">
        <v>17.984999999999999</v>
      </c>
      <c r="E333">
        <v>1</v>
      </c>
      <c r="F333">
        <v>25.481999999999999</v>
      </c>
      <c r="G333">
        <v>7.4969999999999999</v>
      </c>
      <c r="H333" t="b">
        <v>1</v>
      </c>
      <c r="I333">
        <v>7.4969999999999999</v>
      </c>
      <c r="J333" t="s">
        <v>197</v>
      </c>
    </row>
    <row r="334" spans="1:10" x14ac:dyDescent="0.25">
      <c r="A334" t="s">
        <v>182</v>
      </c>
      <c r="B334">
        <v>144</v>
      </c>
      <c r="C334" t="s">
        <v>494</v>
      </c>
      <c r="D334">
        <v>17.984999999999999</v>
      </c>
      <c r="E334">
        <v>2</v>
      </c>
      <c r="F334">
        <v>117.581</v>
      </c>
      <c r="G334">
        <v>99.596000000000004</v>
      </c>
      <c r="H334" t="b">
        <v>0</v>
      </c>
    </row>
    <row r="335" spans="1:10" x14ac:dyDescent="0.25">
      <c r="A335" t="s">
        <v>182</v>
      </c>
      <c r="B335">
        <v>144</v>
      </c>
      <c r="C335" t="s">
        <v>495</v>
      </c>
      <c r="D335">
        <v>17.984999999999999</v>
      </c>
      <c r="E335">
        <v>2</v>
      </c>
      <c r="F335">
        <v>99.596000000000004</v>
      </c>
      <c r="G335">
        <v>81.611000000000004</v>
      </c>
      <c r="H335" t="b">
        <v>0</v>
      </c>
    </row>
    <row r="336" spans="1:10" x14ac:dyDescent="0.25">
      <c r="A336" t="s">
        <v>182</v>
      </c>
      <c r="B336">
        <v>144</v>
      </c>
      <c r="C336" t="s">
        <v>496</v>
      </c>
      <c r="D336">
        <v>17.984999999999999</v>
      </c>
      <c r="E336">
        <v>2</v>
      </c>
      <c r="F336">
        <v>81.611000000000004</v>
      </c>
      <c r="G336">
        <v>63.625999999999998</v>
      </c>
      <c r="H336" t="b">
        <v>0</v>
      </c>
    </row>
    <row r="337" spans="1:10" x14ac:dyDescent="0.25">
      <c r="A337" t="s">
        <v>182</v>
      </c>
      <c r="B337">
        <v>144</v>
      </c>
      <c r="C337" t="s">
        <v>497</v>
      </c>
      <c r="D337">
        <v>17.984999999999999</v>
      </c>
      <c r="E337">
        <v>2</v>
      </c>
      <c r="F337">
        <v>63.625999999999998</v>
      </c>
      <c r="G337">
        <v>45.640999999999998</v>
      </c>
      <c r="H337" t="b">
        <v>0</v>
      </c>
    </row>
    <row r="338" spans="1:10" x14ac:dyDescent="0.25">
      <c r="A338" t="s">
        <v>182</v>
      </c>
      <c r="B338">
        <v>144</v>
      </c>
      <c r="C338" t="s">
        <v>294</v>
      </c>
      <c r="D338">
        <v>16.937000000000001</v>
      </c>
      <c r="E338">
        <v>2</v>
      </c>
      <c r="F338">
        <v>45.640999999999998</v>
      </c>
      <c r="G338">
        <v>28.704000000000001</v>
      </c>
      <c r="H338" t="b">
        <v>0</v>
      </c>
    </row>
    <row r="339" spans="1:10" x14ac:dyDescent="0.25">
      <c r="A339" t="s">
        <v>182</v>
      </c>
      <c r="B339">
        <v>144</v>
      </c>
      <c r="C339" t="s">
        <v>375</v>
      </c>
      <c r="D339">
        <v>9.9849999999999994</v>
      </c>
      <c r="E339">
        <v>2</v>
      </c>
      <c r="F339">
        <v>28.704000000000001</v>
      </c>
      <c r="G339">
        <v>18.719000000000001</v>
      </c>
      <c r="H339" t="b">
        <v>0</v>
      </c>
    </row>
    <row r="340" spans="1:10" x14ac:dyDescent="0.25">
      <c r="A340" t="s">
        <v>182</v>
      </c>
      <c r="B340">
        <v>144</v>
      </c>
      <c r="C340" t="s">
        <v>376</v>
      </c>
      <c r="D340">
        <v>9.9849999999999994</v>
      </c>
      <c r="E340">
        <v>2</v>
      </c>
      <c r="F340">
        <v>18.719000000000001</v>
      </c>
      <c r="G340">
        <v>8.734</v>
      </c>
      <c r="H340" t="b">
        <v>1</v>
      </c>
      <c r="I340">
        <v>8.734</v>
      </c>
      <c r="J340" t="s">
        <v>197</v>
      </c>
    </row>
    <row r="341" spans="1:10" x14ac:dyDescent="0.25">
      <c r="A341" t="s">
        <v>182</v>
      </c>
      <c r="B341">
        <v>144</v>
      </c>
      <c r="C341" t="s">
        <v>377</v>
      </c>
      <c r="D341">
        <v>9.9849999999999994</v>
      </c>
      <c r="E341">
        <v>3</v>
      </c>
      <c r="F341">
        <v>144</v>
      </c>
      <c r="G341">
        <v>134.01499999999999</v>
      </c>
      <c r="H341" t="b">
        <v>0</v>
      </c>
    </row>
    <row r="342" spans="1:10" x14ac:dyDescent="0.25">
      <c r="A342" t="s">
        <v>182</v>
      </c>
      <c r="B342">
        <v>144</v>
      </c>
      <c r="C342" t="s">
        <v>528</v>
      </c>
      <c r="D342">
        <v>9.9849999999999994</v>
      </c>
      <c r="E342">
        <v>3</v>
      </c>
      <c r="F342">
        <v>134.01499999999999</v>
      </c>
      <c r="G342">
        <v>124.03</v>
      </c>
      <c r="H342" t="b">
        <v>0</v>
      </c>
    </row>
    <row r="343" spans="1:10" x14ac:dyDescent="0.25">
      <c r="A343" t="s">
        <v>182</v>
      </c>
      <c r="B343">
        <v>144</v>
      </c>
      <c r="C343" t="s">
        <v>555</v>
      </c>
      <c r="D343">
        <v>9.9849999999999994</v>
      </c>
      <c r="E343">
        <v>3</v>
      </c>
      <c r="F343">
        <v>124.03</v>
      </c>
      <c r="G343">
        <v>114.045</v>
      </c>
      <c r="H343" t="b">
        <v>1</v>
      </c>
      <c r="I343">
        <v>114.045</v>
      </c>
      <c r="J343" t="s">
        <v>187</v>
      </c>
    </row>
    <row r="344" spans="1:10" x14ac:dyDescent="0.25">
      <c r="A344" t="s">
        <v>183</v>
      </c>
      <c r="B344">
        <v>96</v>
      </c>
      <c r="C344" t="s">
        <v>272</v>
      </c>
      <c r="D344">
        <v>43.668999999999997</v>
      </c>
      <c r="E344">
        <v>1</v>
      </c>
      <c r="F344">
        <v>96</v>
      </c>
      <c r="G344">
        <v>52.331000000000003</v>
      </c>
      <c r="H344" t="b">
        <v>0</v>
      </c>
    </row>
    <row r="345" spans="1:10" x14ac:dyDescent="0.25">
      <c r="A345" t="s">
        <v>183</v>
      </c>
      <c r="B345">
        <v>96</v>
      </c>
      <c r="C345" t="s">
        <v>501</v>
      </c>
      <c r="D345">
        <v>43.668999999999997</v>
      </c>
      <c r="E345">
        <v>1</v>
      </c>
      <c r="F345">
        <v>52.331000000000003</v>
      </c>
      <c r="G345">
        <v>8.6620000000000008</v>
      </c>
      <c r="H345" t="b">
        <v>1</v>
      </c>
      <c r="I345">
        <v>8.6620000000000008</v>
      </c>
      <c r="J345" t="s">
        <v>197</v>
      </c>
    </row>
    <row r="346" spans="1:10" x14ac:dyDescent="0.25">
      <c r="A346" t="s">
        <v>183</v>
      </c>
      <c r="B346">
        <v>96</v>
      </c>
      <c r="C346" t="s">
        <v>502</v>
      </c>
      <c r="D346">
        <v>43.668999999999997</v>
      </c>
      <c r="E346">
        <v>2</v>
      </c>
      <c r="F346">
        <v>96</v>
      </c>
      <c r="G346">
        <v>52.331000000000003</v>
      </c>
      <c r="H346" t="b">
        <v>0</v>
      </c>
    </row>
    <row r="347" spans="1:10" x14ac:dyDescent="0.25">
      <c r="A347" t="s">
        <v>183</v>
      </c>
      <c r="B347">
        <v>96</v>
      </c>
      <c r="C347" t="s">
        <v>509</v>
      </c>
      <c r="D347">
        <v>43.668999999999997</v>
      </c>
      <c r="E347">
        <v>2</v>
      </c>
      <c r="F347">
        <v>52.331000000000003</v>
      </c>
      <c r="G347">
        <v>8.6620000000000008</v>
      </c>
      <c r="H347" t="b">
        <v>1</v>
      </c>
      <c r="I347">
        <v>8.6620000000000008</v>
      </c>
      <c r="J347" t="s">
        <v>197</v>
      </c>
    </row>
    <row r="348" spans="1:10" x14ac:dyDescent="0.25">
      <c r="A348" t="s">
        <v>183</v>
      </c>
      <c r="B348">
        <v>96</v>
      </c>
      <c r="C348" t="s">
        <v>329</v>
      </c>
      <c r="D348">
        <v>43.545000000000002</v>
      </c>
      <c r="E348">
        <v>3</v>
      </c>
      <c r="F348">
        <v>96</v>
      </c>
      <c r="G348">
        <v>52.454999999999998</v>
      </c>
      <c r="H348" t="b">
        <v>0</v>
      </c>
    </row>
    <row r="349" spans="1:10" x14ac:dyDescent="0.25">
      <c r="A349" t="s">
        <v>183</v>
      </c>
      <c r="B349">
        <v>96</v>
      </c>
      <c r="C349" t="s">
        <v>489</v>
      </c>
      <c r="D349">
        <v>43.545000000000002</v>
      </c>
      <c r="E349">
        <v>3</v>
      </c>
      <c r="F349">
        <v>52.454999999999998</v>
      </c>
      <c r="G349">
        <v>8.91</v>
      </c>
      <c r="H349" t="b">
        <v>1</v>
      </c>
      <c r="I349">
        <v>8.91</v>
      </c>
      <c r="J349" t="s">
        <v>197</v>
      </c>
    </row>
    <row r="350" spans="1:10" x14ac:dyDescent="0.25">
      <c r="A350" t="s">
        <v>183</v>
      </c>
      <c r="B350">
        <v>96</v>
      </c>
      <c r="C350" t="s">
        <v>234</v>
      </c>
      <c r="D350">
        <v>38.401000000000003</v>
      </c>
      <c r="E350">
        <v>4</v>
      </c>
      <c r="F350">
        <v>96</v>
      </c>
      <c r="G350">
        <v>57.598999999999997</v>
      </c>
      <c r="H350" t="b">
        <v>0</v>
      </c>
    </row>
    <row r="351" spans="1:10" x14ac:dyDescent="0.25">
      <c r="A351" t="s">
        <v>183</v>
      </c>
      <c r="B351">
        <v>96</v>
      </c>
      <c r="C351" t="s">
        <v>235</v>
      </c>
      <c r="D351">
        <v>38.401000000000003</v>
      </c>
      <c r="E351">
        <v>4</v>
      </c>
      <c r="F351">
        <v>57.598999999999997</v>
      </c>
      <c r="G351">
        <v>19.198</v>
      </c>
      <c r="H351" t="b">
        <v>0</v>
      </c>
    </row>
    <row r="352" spans="1:10" x14ac:dyDescent="0.25">
      <c r="A352" t="s">
        <v>183</v>
      </c>
      <c r="B352">
        <v>96</v>
      </c>
      <c r="C352" t="s">
        <v>236</v>
      </c>
      <c r="D352">
        <v>38.401000000000003</v>
      </c>
      <c r="E352">
        <v>5</v>
      </c>
      <c r="F352">
        <v>96</v>
      </c>
      <c r="G352">
        <v>57.598999999999997</v>
      </c>
      <c r="H352" t="b">
        <v>0</v>
      </c>
    </row>
    <row r="353" spans="1:10" x14ac:dyDescent="0.25">
      <c r="A353" t="s">
        <v>183</v>
      </c>
      <c r="B353">
        <v>96</v>
      </c>
      <c r="C353" t="s">
        <v>237</v>
      </c>
      <c r="D353">
        <v>38.401000000000003</v>
      </c>
      <c r="E353">
        <v>5</v>
      </c>
      <c r="F353">
        <v>57.598999999999997</v>
      </c>
      <c r="G353">
        <v>19.198</v>
      </c>
      <c r="H353" t="b">
        <v>0</v>
      </c>
    </row>
    <row r="354" spans="1:10" x14ac:dyDescent="0.25">
      <c r="A354" t="s">
        <v>183</v>
      </c>
      <c r="B354">
        <v>96</v>
      </c>
      <c r="C354" t="s">
        <v>238</v>
      </c>
      <c r="D354">
        <v>38.401000000000003</v>
      </c>
      <c r="E354">
        <v>6</v>
      </c>
      <c r="F354">
        <v>96</v>
      </c>
      <c r="G354">
        <v>57.598999999999997</v>
      </c>
      <c r="H354" t="b">
        <v>0</v>
      </c>
    </row>
    <row r="355" spans="1:10" x14ac:dyDescent="0.25">
      <c r="A355" t="s">
        <v>183</v>
      </c>
      <c r="B355">
        <v>96</v>
      </c>
      <c r="C355" t="s">
        <v>556</v>
      </c>
      <c r="D355">
        <v>38.401000000000003</v>
      </c>
      <c r="E355">
        <v>6</v>
      </c>
      <c r="F355">
        <v>57.598999999999997</v>
      </c>
      <c r="G355">
        <v>19.198</v>
      </c>
      <c r="H355" t="b">
        <v>0</v>
      </c>
    </row>
    <row r="356" spans="1:10" x14ac:dyDescent="0.25">
      <c r="A356" t="s">
        <v>183</v>
      </c>
      <c r="B356">
        <v>96</v>
      </c>
      <c r="C356" t="s">
        <v>341</v>
      </c>
      <c r="D356">
        <v>31.248000000000001</v>
      </c>
      <c r="E356">
        <v>7</v>
      </c>
      <c r="F356">
        <v>96</v>
      </c>
      <c r="G356">
        <v>64.751999999999995</v>
      </c>
      <c r="H356" t="b">
        <v>0</v>
      </c>
    </row>
    <row r="357" spans="1:10" x14ac:dyDescent="0.25">
      <c r="A357" t="s">
        <v>183</v>
      </c>
      <c r="B357">
        <v>96</v>
      </c>
      <c r="C357" t="s">
        <v>342</v>
      </c>
      <c r="D357">
        <v>31.248000000000001</v>
      </c>
      <c r="E357">
        <v>7</v>
      </c>
      <c r="F357">
        <v>64.751999999999995</v>
      </c>
      <c r="G357">
        <v>33.503999999999998</v>
      </c>
      <c r="H357" t="b">
        <v>0</v>
      </c>
    </row>
    <row r="358" spans="1:10" x14ac:dyDescent="0.25">
      <c r="A358" t="s">
        <v>183</v>
      </c>
      <c r="B358">
        <v>96</v>
      </c>
      <c r="C358" t="s">
        <v>257</v>
      </c>
      <c r="D358">
        <v>22.061</v>
      </c>
      <c r="E358">
        <v>7</v>
      </c>
      <c r="F358">
        <v>33.503999999999998</v>
      </c>
      <c r="G358">
        <v>11.443</v>
      </c>
      <c r="H358" t="b">
        <v>0</v>
      </c>
    </row>
    <row r="359" spans="1:10" x14ac:dyDescent="0.25">
      <c r="A359" t="s">
        <v>183</v>
      </c>
      <c r="B359">
        <v>96</v>
      </c>
      <c r="C359" t="s">
        <v>258</v>
      </c>
      <c r="D359">
        <v>22.061</v>
      </c>
      <c r="E359">
        <v>8</v>
      </c>
      <c r="F359">
        <v>96</v>
      </c>
      <c r="G359">
        <v>73.938999999999993</v>
      </c>
      <c r="H359" t="b">
        <v>0</v>
      </c>
    </row>
    <row r="360" spans="1:10" x14ac:dyDescent="0.25">
      <c r="A360" t="s">
        <v>183</v>
      </c>
      <c r="B360">
        <v>96</v>
      </c>
      <c r="C360" t="s">
        <v>259</v>
      </c>
      <c r="D360">
        <v>22.061</v>
      </c>
      <c r="E360">
        <v>8</v>
      </c>
      <c r="F360">
        <v>73.938999999999993</v>
      </c>
      <c r="G360">
        <v>51.878</v>
      </c>
      <c r="H360" t="b">
        <v>0</v>
      </c>
    </row>
    <row r="361" spans="1:10" x14ac:dyDescent="0.25">
      <c r="A361" t="s">
        <v>183</v>
      </c>
      <c r="B361">
        <v>96</v>
      </c>
      <c r="C361" t="s">
        <v>260</v>
      </c>
      <c r="D361">
        <v>22.061</v>
      </c>
      <c r="E361">
        <v>8</v>
      </c>
      <c r="F361">
        <v>51.878</v>
      </c>
      <c r="G361">
        <v>29.817</v>
      </c>
      <c r="H361" t="b">
        <v>0</v>
      </c>
    </row>
    <row r="362" spans="1:10" x14ac:dyDescent="0.25">
      <c r="A362" t="s">
        <v>183</v>
      </c>
      <c r="B362">
        <v>96</v>
      </c>
      <c r="C362" t="s">
        <v>261</v>
      </c>
      <c r="D362">
        <v>22.061</v>
      </c>
      <c r="E362">
        <v>8</v>
      </c>
      <c r="F362">
        <v>29.817</v>
      </c>
      <c r="G362">
        <v>7.7560000000000002</v>
      </c>
      <c r="H362" t="b">
        <v>0</v>
      </c>
    </row>
    <row r="363" spans="1:10" x14ac:dyDescent="0.25">
      <c r="A363" t="s">
        <v>183</v>
      </c>
      <c r="B363">
        <v>96</v>
      </c>
      <c r="C363" t="s">
        <v>262</v>
      </c>
      <c r="D363">
        <v>22.061</v>
      </c>
      <c r="E363">
        <v>9</v>
      </c>
      <c r="F363">
        <v>96</v>
      </c>
      <c r="G363">
        <v>73.938999999999993</v>
      </c>
      <c r="H363" t="b">
        <v>0</v>
      </c>
    </row>
    <row r="364" spans="1:10" x14ac:dyDescent="0.25">
      <c r="A364" t="s">
        <v>183</v>
      </c>
      <c r="B364">
        <v>96</v>
      </c>
      <c r="C364" t="s">
        <v>276</v>
      </c>
      <c r="D364">
        <v>15.007</v>
      </c>
      <c r="E364">
        <v>4</v>
      </c>
      <c r="F364">
        <v>19.198</v>
      </c>
      <c r="G364">
        <v>4.1909999999999998</v>
      </c>
      <c r="H364" t="b">
        <v>1</v>
      </c>
      <c r="I364">
        <v>4.1909999999999998</v>
      </c>
      <c r="J364" t="s">
        <v>197</v>
      </c>
    </row>
    <row r="365" spans="1:10" x14ac:dyDescent="0.25">
      <c r="A365" t="s">
        <v>183</v>
      </c>
      <c r="B365">
        <v>96</v>
      </c>
      <c r="C365" t="s">
        <v>487</v>
      </c>
      <c r="D365">
        <v>15.007</v>
      </c>
      <c r="E365">
        <v>5</v>
      </c>
      <c r="F365">
        <v>19.198</v>
      </c>
      <c r="G365">
        <v>4.1909999999999998</v>
      </c>
      <c r="H365" t="b">
        <v>1</v>
      </c>
      <c r="I365">
        <v>4.1909999999999998</v>
      </c>
      <c r="J365" t="s">
        <v>197</v>
      </c>
    </row>
    <row r="366" spans="1:10" x14ac:dyDescent="0.25">
      <c r="A366" t="s">
        <v>183</v>
      </c>
      <c r="B366">
        <v>96</v>
      </c>
      <c r="C366" t="s">
        <v>507</v>
      </c>
      <c r="D366">
        <v>15.007</v>
      </c>
      <c r="E366">
        <v>6</v>
      </c>
      <c r="F366">
        <v>19.198</v>
      </c>
      <c r="G366">
        <v>4.1909999999999998</v>
      </c>
      <c r="H366" t="b">
        <v>1</v>
      </c>
      <c r="I366">
        <v>4.1909999999999998</v>
      </c>
      <c r="J366" t="s">
        <v>197</v>
      </c>
    </row>
    <row r="367" spans="1:10" x14ac:dyDescent="0.25">
      <c r="A367" t="s">
        <v>183</v>
      </c>
      <c r="B367">
        <v>96</v>
      </c>
      <c r="C367" t="s">
        <v>508</v>
      </c>
      <c r="D367">
        <v>15.007</v>
      </c>
      <c r="E367">
        <v>9</v>
      </c>
      <c r="F367">
        <v>73.938999999999993</v>
      </c>
      <c r="G367">
        <v>58.932000000000002</v>
      </c>
      <c r="H367" t="b">
        <v>1</v>
      </c>
      <c r="I367">
        <v>58.932000000000002</v>
      </c>
      <c r="J367" t="s">
        <v>187</v>
      </c>
    </row>
    <row r="368" spans="1:10" x14ac:dyDescent="0.25">
      <c r="A368" t="s">
        <v>183</v>
      </c>
      <c r="B368">
        <v>96</v>
      </c>
      <c r="C368" t="s">
        <v>223</v>
      </c>
      <c r="D368">
        <v>10.525</v>
      </c>
      <c r="E368">
        <v>7</v>
      </c>
      <c r="F368">
        <v>11.443</v>
      </c>
      <c r="G368">
        <v>0.91800000000000004</v>
      </c>
      <c r="H368" t="b">
        <v>1</v>
      </c>
      <c r="I368">
        <v>0.91800000000000004</v>
      </c>
      <c r="J368" t="s">
        <v>197</v>
      </c>
    </row>
    <row r="369" spans="1:10" x14ac:dyDescent="0.25">
      <c r="A369" t="s">
        <v>183</v>
      </c>
      <c r="B369">
        <v>96</v>
      </c>
      <c r="C369" t="s">
        <v>405</v>
      </c>
      <c r="D369">
        <v>7.4569999999999999</v>
      </c>
      <c r="E369">
        <v>8</v>
      </c>
      <c r="F369">
        <v>7.7560000000000002</v>
      </c>
      <c r="G369">
        <v>0.29899999999999999</v>
      </c>
      <c r="H369" t="b">
        <v>1</v>
      </c>
      <c r="I369">
        <v>0.29899999999999999</v>
      </c>
      <c r="J369" t="s">
        <v>197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E42AFE-9626-43F6-B695-5B7786B00178}">
  <sheetPr codeName="Sheet6"/>
  <dimension ref="A1:H104"/>
  <sheetViews>
    <sheetView workbookViewId="0"/>
  </sheetViews>
  <sheetFormatPr defaultRowHeight="15" x14ac:dyDescent="0.25"/>
  <cols>
    <col min="1" max="1" width="11.5703125" bestFit="1" customWidth="1"/>
    <col min="2" max="2" width="7.140625" bestFit="1" customWidth="1"/>
    <col min="3" max="3" width="12.42578125" bestFit="1" customWidth="1"/>
    <col min="4" max="4" width="9.28515625" bestFit="1" customWidth="1"/>
    <col min="5" max="5" width="13.7109375" bestFit="1" customWidth="1"/>
    <col min="6" max="6" width="13.42578125" bestFit="1" customWidth="1"/>
    <col min="7" max="7" width="17.28515625" bestFit="1" customWidth="1"/>
    <col min="8" max="8" width="8" bestFit="1" customWidth="1"/>
  </cols>
  <sheetData>
    <row r="1" spans="1:8" s="1" customFormat="1" x14ac:dyDescent="0.25">
      <c r="A1" s="1" t="s">
        <v>35</v>
      </c>
      <c r="B1" s="1" t="s">
        <v>54</v>
      </c>
      <c r="C1" s="1" t="s">
        <v>51</v>
      </c>
      <c r="D1" s="1" t="s">
        <v>60</v>
      </c>
      <c r="E1" s="1" t="s">
        <v>61</v>
      </c>
      <c r="F1" s="1" t="s">
        <v>62</v>
      </c>
      <c r="G1" s="1" t="s">
        <v>59</v>
      </c>
      <c r="H1" s="1" t="s">
        <v>63</v>
      </c>
    </row>
    <row r="2" spans="1:8" x14ac:dyDescent="0.25">
      <c r="A2" t="s">
        <v>164</v>
      </c>
      <c r="B2">
        <v>1</v>
      </c>
      <c r="C2">
        <v>144</v>
      </c>
      <c r="D2" t="s">
        <v>557</v>
      </c>
      <c r="E2">
        <v>139.17099999999999</v>
      </c>
      <c r="F2">
        <v>4.8289999999999997</v>
      </c>
      <c r="G2" t="s">
        <v>197</v>
      </c>
      <c r="H2">
        <v>0.96646500000000002</v>
      </c>
    </row>
    <row r="3" spans="1:8" x14ac:dyDescent="0.25">
      <c r="A3" t="s">
        <v>164</v>
      </c>
      <c r="B3">
        <v>2</v>
      </c>
      <c r="C3">
        <v>144</v>
      </c>
      <c r="D3" t="s">
        <v>558</v>
      </c>
      <c r="E3">
        <v>134.17599999999999</v>
      </c>
      <c r="F3">
        <v>9.8239999999999998</v>
      </c>
      <c r="G3" t="s">
        <v>197</v>
      </c>
      <c r="H3">
        <v>0.931778</v>
      </c>
    </row>
    <row r="4" spans="1:8" x14ac:dyDescent="0.25">
      <c r="A4" t="s">
        <v>164</v>
      </c>
      <c r="B4">
        <v>3</v>
      </c>
      <c r="C4">
        <v>144</v>
      </c>
      <c r="D4" t="s">
        <v>559</v>
      </c>
      <c r="E4">
        <v>143.39699999999999</v>
      </c>
      <c r="F4">
        <v>0.60299999999999998</v>
      </c>
      <c r="G4" t="s">
        <v>197</v>
      </c>
      <c r="H4">
        <v>0.99581299999999995</v>
      </c>
    </row>
    <row r="5" spans="1:8" x14ac:dyDescent="0.25">
      <c r="A5" t="s">
        <v>164</v>
      </c>
      <c r="B5">
        <v>4</v>
      </c>
      <c r="C5">
        <v>144</v>
      </c>
      <c r="D5" t="s">
        <v>560</v>
      </c>
      <c r="E5">
        <v>143.39699999999999</v>
      </c>
      <c r="F5">
        <v>0.60299999999999998</v>
      </c>
      <c r="G5" t="s">
        <v>197</v>
      </c>
      <c r="H5">
        <v>0.99581299999999995</v>
      </c>
    </row>
    <row r="6" spans="1:8" x14ac:dyDescent="0.25">
      <c r="A6" t="s">
        <v>164</v>
      </c>
      <c r="B6">
        <v>5</v>
      </c>
      <c r="C6">
        <v>144</v>
      </c>
      <c r="D6" t="s">
        <v>561</v>
      </c>
      <c r="E6">
        <v>131.35300000000001</v>
      </c>
      <c r="F6">
        <v>12.647</v>
      </c>
      <c r="G6" t="s">
        <v>187</v>
      </c>
      <c r="H6">
        <v>0.91217400000000004</v>
      </c>
    </row>
    <row r="7" spans="1:8" x14ac:dyDescent="0.25">
      <c r="A7" t="s">
        <v>164</v>
      </c>
      <c r="B7">
        <v>6</v>
      </c>
      <c r="C7">
        <v>144</v>
      </c>
      <c r="D7" t="s">
        <v>562</v>
      </c>
      <c r="E7">
        <v>130.01300000000001</v>
      </c>
      <c r="F7">
        <v>13.987</v>
      </c>
      <c r="G7" t="s">
        <v>187</v>
      </c>
      <c r="H7">
        <v>0.902868</v>
      </c>
    </row>
    <row r="8" spans="1:8" x14ac:dyDescent="0.25">
      <c r="A8" t="s">
        <v>165</v>
      </c>
      <c r="B8">
        <v>1</v>
      </c>
      <c r="C8">
        <v>96</v>
      </c>
      <c r="D8" t="s">
        <v>563</v>
      </c>
      <c r="E8">
        <v>88.947999999999993</v>
      </c>
      <c r="F8">
        <v>7.0519999999999996</v>
      </c>
      <c r="G8" t="s">
        <v>197</v>
      </c>
      <c r="H8">
        <v>0.92654199999999998</v>
      </c>
    </row>
    <row r="9" spans="1:8" x14ac:dyDescent="0.25">
      <c r="A9" t="s">
        <v>165</v>
      </c>
      <c r="B9">
        <v>2</v>
      </c>
      <c r="C9">
        <v>96</v>
      </c>
      <c r="D9" t="s">
        <v>564</v>
      </c>
      <c r="E9">
        <v>88.947999999999993</v>
      </c>
      <c r="F9">
        <v>7.0519999999999996</v>
      </c>
      <c r="G9" t="s">
        <v>197</v>
      </c>
      <c r="H9">
        <v>0.92654199999999998</v>
      </c>
    </row>
    <row r="10" spans="1:8" x14ac:dyDescent="0.25">
      <c r="A10" t="s">
        <v>165</v>
      </c>
      <c r="B10">
        <v>3</v>
      </c>
      <c r="C10">
        <v>96</v>
      </c>
      <c r="D10" t="s">
        <v>565</v>
      </c>
      <c r="E10">
        <v>95.603999999999999</v>
      </c>
      <c r="F10">
        <v>0.39600000000000002</v>
      </c>
      <c r="G10" t="s">
        <v>197</v>
      </c>
      <c r="H10">
        <v>0.99587499999999995</v>
      </c>
    </row>
    <row r="11" spans="1:8" x14ac:dyDescent="0.25">
      <c r="A11" t="s">
        <v>165</v>
      </c>
      <c r="B11">
        <v>4</v>
      </c>
      <c r="C11">
        <v>96</v>
      </c>
      <c r="D11" t="s">
        <v>566</v>
      </c>
      <c r="E11">
        <v>91.046000000000006</v>
      </c>
      <c r="F11">
        <v>4.9539999999999997</v>
      </c>
      <c r="G11" t="s">
        <v>197</v>
      </c>
      <c r="H11">
        <v>0.94839600000000002</v>
      </c>
    </row>
    <row r="12" spans="1:8" x14ac:dyDescent="0.25">
      <c r="A12" t="s">
        <v>165</v>
      </c>
      <c r="B12">
        <v>5</v>
      </c>
      <c r="C12">
        <v>96</v>
      </c>
      <c r="D12" t="s">
        <v>567</v>
      </c>
      <c r="E12">
        <v>91.046000000000006</v>
      </c>
      <c r="F12">
        <v>4.9539999999999997</v>
      </c>
      <c r="G12" t="s">
        <v>197</v>
      </c>
      <c r="H12">
        <v>0.94839600000000002</v>
      </c>
    </row>
    <row r="13" spans="1:8" x14ac:dyDescent="0.25">
      <c r="A13" t="s">
        <v>165</v>
      </c>
      <c r="B13">
        <v>6</v>
      </c>
      <c r="C13">
        <v>96</v>
      </c>
      <c r="D13" t="s">
        <v>568</v>
      </c>
      <c r="E13">
        <v>91.057000000000002</v>
      </c>
      <c r="F13">
        <v>4.9429999999999996</v>
      </c>
      <c r="G13" t="s">
        <v>197</v>
      </c>
      <c r="H13">
        <v>0.94850999999999996</v>
      </c>
    </row>
    <row r="14" spans="1:8" x14ac:dyDescent="0.25">
      <c r="A14" t="s">
        <v>165</v>
      </c>
      <c r="B14">
        <v>7</v>
      </c>
      <c r="C14">
        <v>96</v>
      </c>
      <c r="D14" t="s">
        <v>569</v>
      </c>
      <c r="E14">
        <v>86.06</v>
      </c>
      <c r="F14">
        <v>9.94</v>
      </c>
      <c r="G14" t="s">
        <v>197</v>
      </c>
      <c r="H14">
        <v>0.89645799999999998</v>
      </c>
    </row>
    <row r="15" spans="1:8" x14ac:dyDescent="0.25">
      <c r="A15" t="s">
        <v>165</v>
      </c>
      <c r="B15">
        <v>8</v>
      </c>
      <c r="C15">
        <v>96</v>
      </c>
      <c r="D15" t="s">
        <v>570</v>
      </c>
      <c r="E15">
        <v>86.06</v>
      </c>
      <c r="F15">
        <v>9.94</v>
      </c>
      <c r="G15" t="s">
        <v>197</v>
      </c>
      <c r="H15">
        <v>0.89645799999999998</v>
      </c>
    </row>
    <row r="16" spans="1:8" x14ac:dyDescent="0.25">
      <c r="A16" t="s">
        <v>165</v>
      </c>
      <c r="B16">
        <v>9</v>
      </c>
      <c r="C16">
        <v>96</v>
      </c>
      <c r="D16" t="s">
        <v>571</v>
      </c>
      <c r="E16">
        <v>46.133000000000003</v>
      </c>
      <c r="F16">
        <v>49.866999999999997</v>
      </c>
      <c r="G16" t="s">
        <v>187</v>
      </c>
      <c r="H16">
        <v>0.48055199999999998</v>
      </c>
    </row>
    <row r="17" spans="1:8" x14ac:dyDescent="0.25">
      <c r="A17" t="s">
        <v>166</v>
      </c>
      <c r="B17">
        <v>1</v>
      </c>
      <c r="C17">
        <v>144</v>
      </c>
      <c r="D17" t="s">
        <v>572</v>
      </c>
      <c r="E17">
        <v>138.15600000000001</v>
      </c>
      <c r="F17">
        <v>5.8440000000000003</v>
      </c>
      <c r="G17" t="s">
        <v>197</v>
      </c>
      <c r="H17">
        <v>0.95941699999999996</v>
      </c>
    </row>
    <row r="18" spans="1:8" x14ac:dyDescent="0.25">
      <c r="A18" t="s">
        <v>166</v>
      </c>
      <c r="B18">
        <v>2</v>
      </c>
      <c r="C18">
        <v>144</v>
      </c>
      <c r="D18" t="s">
        <v>573</v>
      </c>
      <c r="E18">
        <v>116.081</v>
      </c>
      <c r="F18">
        <v>27.919</v>
      </c>
      <c r="G18" t="s">
        <v>187</v>
      </c>
      <c r="H18">
        <v>0.806118</v>
      </c>
    </row>
    <row r="19" spans="1:8" x14ac:dyDescent="0.25">
      <c r="A19" t="s">
        <v>166</v>
      </c>
      <c r="B19">
        <v>3</v>
      </c>
      <c r="C19">
        <v>144</v>
      </c>
      <c r="D19" t="s">
        <v>574</v>
      </c>
      <c r="E19">
        <v>112.69499999999999</v>
      </c>
      <c r="F19">
        <v>31.305</v>
      </c>
      <c r="G19" t="s">
        <v>187</v>
      </c>
      <c r="H19">
        <v>0.78260399999999997</v>
      </c>
    </row>
    <row r="20" spans="1:8" x14ac:dyDescent="0.25">
      <c r="A20" t="s">
        <v>167</v>
      </c>
      <c r="B20">
        <v>1</v>
      </c>
      <c r="C20">
        <v>96</v>
      </c>
      <c r="D20" t="s">
        <v>575</v>
      </c>
      <c r="E20">
        <v>94.686999999999998</v>
      </c>
      <c r="F20">
        <v>1.3129999999999999</v>
      </c>
      <c r="G20" t="s">
        <v>197</v>
      </c>
      <c r="H20">
        <v>0.98632299999999995</v>
      </c>
    </row>
    <row r="21" spans="1:8" x14ac:dyDescent="0.25">
      <c r="A21" t="s">
        <v>167</v>
      </c>
      <c r="B21">
        <v>2</v>
      </c>
      <c r="C21">
        <v>96</v>
      </c>
      <c r="D21" t="s">
        <v>576</v>
      </c>
      <c r="E21">
        <v>64.475999999999999</v>
      </c>
      <c r="F21">
        <v>31.524000000000001</v>
      </c>
      <c r="G21" t="s">
        <v>187</v>
      </c>
      <c r="H21">
        <v>0.67162500000000003</v>
      </c>
    </row>
    <row r="22" spans="1:8" x14ac:dyDescent="0.25">
      <c r="A22" t="s">
        <v>168</v>
      </c>
      <c r="B22">
        <v>1</v>
      </c>
      <c r="C22">
        <v>144</v>
      </c>
      <c r="D22" t="s">
        <v>577</v>
      </c>
      <c r="E22">
        <v>137.774</v>
      </c>
      <c r="F22">
        <v>6.226</v>
      </c>
      <c r="G22" t="s">
        <v>197</v>
      </c>
      <c r="H22">
        <v>0.95676399999999995</v>
      </c>
    </row>
    <row r="23" spans="1:8" x14ac:dyDescent="0.25">
      <c r="A23" t="s">
        <v>168</v>
      </c>
      <c r="B23">
        <v>2</v>
      </c>
      <c r="C23">
        <v>144</v>
      </c>
      <c r="D23" t="s">
        <v>578</v>
      </c>
      <c r="E23">
        <v>143.41499999999999</v>
      </c>
      <c r="F23">
        <v>0.58499999999999996</v>
      </c>
      <c r="G23" t="s">
        <v>197</v>
      </c>
      <c r="H23">
        <v>0.99593799999999999</v>
      </c>
    </row>
    <row r="24" spans="1:8" x14ac:dyDescent="0.25">
      <c r="A24" t="s">
        <v>168</v>
      </c>
      <c r="B24">
        <v>3</v>
      </c>
      <c r="C24">
        <v>144</v>
      </c>
      <c r="D24" t="s">
        <v>579</v>
      </c>
      <c r="E24">
        <v>143.59299999999999</v>
      </c>
      <c r="F24">
        <v>0.40699999999999997</v>
      </c>
      <c r="G24" t="s">
        <v>197</v>
      </c>
      <c r="H24">
        <v>0.997174</v>
      </c>
    </row>
    <row r="25" spans="1:8" x14ac:dyDescent="0.25">
      <c r="A25" t="s">
        <v>168</v>
      </c>
      <c r="B25">
        <v>4</v>
      </c>
      <c r="C25">
        <v>144</v>
      </c>
      <c r="D25" t="s">
        <v>580</v>
      </c>
      <c r="E25">
        <v>141.93799999999999</v>
      </c>
      <c r="F25">
        <v>2.0619999999999998</v>
      </c>
      <c r="G25" t="s">
        <v>197</v>
      </c>
      <c r="H25">
        <v>0.98568100000000003</v>
      </c>
    </row>
    <row r="26" spans="1:8" x14ac:dyDescent="0.25">
      <c r="A26" t="s">
        <v>168</v>
      </c>
      <c r="B26">
        <v>5</v>
      </c>
      <c r="C26">
        <v>144</v>
      </c>
      <c r="D26" t="s">
        <v>581</v>
      </c>
      <c r="E26">
        <v>75.463999999999999</v>
      </c>
      <c r="F26">
        <v>68.536000000000001</v>
      </c>
      <c r="G26" t="s">
        <v>187</v>
      </c>
      <c r="H26">
        <v>0.52405599999999997</v>
      </c>
    </row>
    <row r="27" spans="1:8" x14ac:dyDescent="0.25">
      <c r="A27" t="s">
        <v>169</v>
      </c>
      <c r="B27">
        <v>1</v>
      </c>
      <c r="C27">
        <v>96</v>
      </c>
      <c r="D27" t="s">
        <v>448</v>
      </c>
      <c r="E27">
        <v>73.418999999999997</v>
      </c>
      <c r="F27">
        <v>22.581</v>
      </c>
      <c r="G27" t="s">
        <v>187</v>
      </c>
      <c r="H27">
        <v>0.76478100000000004</v>
      </c>
    </row>
    <row r="28" spans="1:8" x14ac:dyDescent="0.25">
      <c r="A28" t="s">
        <v>169</v>
      </c>
      <c r="B28">
        <v>2</v>
      </c>
      <c r="C28">
        <v>96</v>
      </c>
      <c r="D28" t="s">
        <v>582</v>
      </c>
      <c r="E28">
        <v>48.945999999999998</v>
      </c>
      <c r="F28">
        <v>47.054000000000002</v>
      </c>
      <c r="G28" t="s">
        <v>187</v>
      </c>
      <c r="H28">
        <v>0.50985400000000003</v>
      </c>
    </row>
    <row r="29" spans="1:8" x14ac:dyDescent="0.25">
      <c r="A29" t="s">
        <v>170</v>
      </c>
      <c r="B29">
        <v>1</v>
      </c>
      <c r="C29">
        <v>144</v>
      </c>
      <c r="D29" t="s">
        <v>583</v>
      </c>
      <c r="E29">
        <v>141.60599999999999</v>
      </c>
      <c r="F29">
        <v>2.3940000000000001</v>
      </c>
      <c r="G29" t="s">
        <v>197</v>
      </c>
      <c r="H29">
        <v>0.983375</v>
      </c>
    </row>
    <row r="30" spans="1:8" x14ac:dyDescent="0.25">
      <c r="A30" t="s">
        <v>170</v>
      </c>
      <c r="B30">
        <v>2</v>
      </c>
      <c r="C30">
        <v>144</v>
      </c>
      <c r="D30" t="s">
        <v>584</v>
      </c>
      <c r="E30">
        <v>134.25399999999999</v>
      </c>
      <c r="F30">
        <v>9.7460000000000004</v>
      </c>
      <c r="G30" t="s">
        <v>197</v>
      </c>
      <c r="H30">
        <v>0.93231900000000001</v>
      </c>
    </row>
    <row r="31" spans="1:8" x14ac:dyDescent="0.25">
      <c r="A31" t="s">
        <v>170</v>
      </c>
      <c r="B31">
        <v>3</v>
      </c>
      <c r="C31">
        <v>144</v>
      </c>
      <c r="D31" t="s">
        <v>585</v>
      </c>
      <c r="E31">
        <v>141.393</v>
      </c>
      <c r="F31">
        <v>2.6070000000000002</v>
      </c>
      <c r="G31" t="s">
        <v>197</v>
      </c>
      <c r="H31">
        <v>0.98189599999999999</v>
      </c>
    </row>
    <row r="32" spans="1:8" x14ac:dyDescent="0.25">
      <c r="A32" t="s">
        <v>170</v>
      </c>
      <c r="B32">
        <v>4</v>
      </c>
      <c r="C32">
        <v>144</v>
      </c>
      <c r="D32" t="s">
        <v>529</v>
      </c>
      <c r="E32">
        <v>50.744</v>
      </c>
      <c r="F32">
        <v>93.256</v>
      </c>
      <c r="G32" t="s">
        <v>187</v>
      </c>
      <c r="H32">
        <v>0.35238900000000001</v>
      </c>
    </row>
    <row r="33" spans="1:8" x14ac:dyDescent="0.25">
      <c r="A33" t="s">
        <v>171</v>
      </c>
      <c r="B33">
        <v>1</v>
      </c>
      <c r="C33">
        <v>96</v>
      </c>
      <c r="D33" t="s">
        <v>586</v>
      </c>
      <c r="E33">
        <v>94.132000000000005</v>
      </c>
      <c r="F33">
        <v>1.8680000000000001</v>
      </c>
      <c r="G33" t="s">
        <v>197</v>
      </c>
      <c r="H33">
        <v>0.98054200000000002</v>
      </c>
    </row>
    <row r="34" spans="1:8" x14ac:dyDescent="0.25">
      <c r="A34" t="s">
        <v>171</v>
      </c>
      <c r="B34">
        <v>2</v>
      </c>
      <c r="C34">
        <v>96</v>
      </c>
      <c r="D34" t="s">
        <v>587</v>
      </c>
      <c r="E34">
        <v>94.132000000000005</v>
      </c>
      <c r="F34">
        <v>1.8680000000000001</v>
      </c>
      <c r="G34" t="s">
        <v>197</v>
      </c>
      <c r="H34">
        <v>0.98054200000000002</v>
      </c>
    </row>
    <row r="35" spans="1:8" x14ac:dyDescent="0.25">
      <c r="A35" t="s">
        <v>171</v>
      </c>
      <c r="B35">
        <v>3</v>
      </c>
      <c r="C35">
        <v>96</v>
      </c>
      <c r="D35" t="s">
        <v>588</v>
      </c>
      <c r="E35">
        <v>94.132000000000005</v>
      </c>
      <c r="F35">
        <v>1.8680000000000001</v>
      </c>
      <c r="G35" t="s">
        <v>197</v>
      </c>
      <c r="H35">
        <v>0.98054200000000002</v>
      </c>
    </row>
    <row r="36" spans="1:8" x14ac:dyDescent="0.25">
      <c r="A36" t="s">
        <v>171</v>
      </c>
      <c r="B36">
        <v>4</v>
      </c>
      <c r="C36">
        <v>96</v>
      </c>
      <c r="D36" t="s">
        <v>589</v>
      </c>
      <c r="E36">
        <v>86.688000000000002</v>
      </c>
      <c r="F36">
        <v>9.3119999999999994</v>
      </c>
      <c r="G36" t="s">
        <v>197</v>
      </c>
      <c r="H36">
        <v>0.90300000000000002</v>
      </c>
    </row>
    <row r="37" spans="1:8" x14ac:dyDescent="0.25">
      <c r="A37" t="s">
        <v>171</v>
      </c>
      <c r="B37">
        <v>5</v>
      </c>
      <c r="C37">
        <v>96</v>
      </c>
      <c r="D37" t="s">
        <v>590</v>
      </c>
      <c r="E37">
        <v>24.866</v>
      </c>
      <c r="F37">
        <v>71.134</v>
      </c>
      <c r="G37" t="s">
        <v>187</v>
      </c>
      <c r="H37">
        <v>0.259021</v>
      </c>
    </row>
    <row r="38" spans="1:8" x14ac:dyDescent="0.25">
      <c r="A38" t="s">
        <v>172</v>
      </c>
      <c r="B38">
        <v>1</v>
      </c>
      <c r="C38">
        <v>144</v>
      </c>
      <c r="D38" t="s">
        <v>591</v>
      </c>
      <c r="E38">
        <v>143.43</v>
      </c>
      <c r="F38">
        <v>0.56999999999999995</v>
      </c>
      <c r="G38" t="s">
        <v>197</v>
      </c>
      <c r="H38">
        <v>0.99604199999999998</v>
      </c>
    </row>
    <row r="39" spans="1:8" x14ac:dyDescent="0.25">
      <c r="A39" t="s">
        <v>172</v>
      </c>
      <c r="B39">
        <v>2</v>
      </c>
      <c r="C39">
        <v>144</v>
      </c>
      <c r="D39" t="s">
        <v>592</v>
      </c>
      <c r="E39">
        <v>143.49</v>
      </c>
      <c r="F39">
        <v>0.51</v>
      </c>
      <c r="G39" t="s">
        <v>197</v>
      </c>
      <c r="H39">
        <v>0.99645799999999995</v>
      </c>
    </row>
    <row r="40" spans="1:8" x14ac:dyDescent="0.25">
      <c r="A40" t="s">
        <v>172</v>
      </c>
      <c r="B40">
        <v>3</v>
      </c>
      <c r="C40">
        <v>144</v>
      </c>
      <c r="D40" t="s">
        <v>593</v>
      </c>
      <c r="E40">
        <v>143.25899999999999</v>
      </c>
      <c r="F40">
        <v>0.74099999999999999</v>
      </c>
      <c r="G40" t="s">
        <v>197</v>
      </c>
      <c r="H40">
        <v>0.99485400000000002</v>
      </c>
    </row>
    <row r="41" spans="1:8" x14ac:dyDescent="0.25">
      <c r="A41" t="s">
        <v>172</v>
      </c>
      <c r="B41">
        <v>4</v>
      </c>
      <c r="C41">
        <v>144</v>
      </c>
      <c r="D41" t="s">
        <v>594</v>
      </c>
      <c r="E41">
        <v>43.856000000000002</v>
      </c>
      <c r="F41">
        <v>100.14400000000001</v>
      </c>
      <c r="G41" t="s">
        <v>187</v>
      </c>
      <c r="H41">
        <v>0.30455599999999999</v>
      </c>
    </row>
    <row r="42" spans="1:8" x14ac:dyDescent="0.25">
      <c r="A42" t="s">
        <v>173</v>
      </c>
      <c r="B42">
        <v>1</v>
      </c>
      <c r="C42">
        <v>96</v>
      </c>
      <c r="D42" t="s">
        <v>595</v>
      </c>
      <c r="E42">
        <v>94.88</v>
      </c>
      <c r="F42">
        <v>1.1200000000000001</v>
      </c>
      <c r="G42" t="s">
        <v>197</v>
      </c>
      <c r="H42">
        <v>0.98833300000000002</v>
      </c>
    </row>
    <row r="43" spans="1:8" x14ac:dyDescent="0.25">
      <c r="A43" t="s">
        <v>173</v>
      </c>
      <c r="B43">
        <v>2</v>
      </c>
      <c r="C43">
        <v>96</v>
      </c>
      <c r="D43" t="s">
        <v>596</v>
      </c>
      <c r="E43">
        <v>94.88</v>
      </c>
      <c r="F43">
        <v>1.1200000000000001</v>
      </c>
      <c r="G43" t="s">
        <v>197</v>
      </c>
      <c r="H43">
        <v>0.98833300000000002</v>
      </c>
    </row>
    <row r="44" spans="1:8" x14ac:dyDescent="0.25">
      <c r="A44" t="s">
        <v>173</v>
      </c>
      <c r="B44">
        <v>3</v>
      </c>
      <c r="C44">
        <v>96</v>
      </c>
      <c r="D44" t="s">
        <v>597</v>
      </c>
      <c r="E44">
        <v>90.007000000000005</v>
      </c>
      <c r="F44">
        <v>5.9930000000000003</v>
      </c>
      <c r="G44" t="s">
        <v>197</v>
      </c>
      <c r="H44">
        <v>0.93757299999999999</v>
      </c>
    </row>
    <row r="45" spans="1:8" x14ac:dyDescent="0.25">
      <c r="A45" t="s">
        <v>173</v>
      </c>
      <c r="B45">
        <v>4</v>
      </c>
      <c r="C45">
        <v>96</v>
      </c>
      <c r="D45" t="s">
        <v>598</v>
      </c>
      <c r="E45">
        <v>95.617000000000004</v>
      </c>
      <c r="F45">
        <v>0.38300000000000001</v>
      </c>
      <c r="G45" t="s">
        <v>197</v>
      </c>
      <c r="H45">
        <v>0.99600999999999995</v>
      </c>
    </row>
    <row r="46" spans="1:8" x14ac:dyDescent="0.25">
      <c r="A46" t="s">
        <v>173</v>
      </c>
      <c r="B46">
        <v>5</v>
      </c>
      <c r="C46">
        <v>96</v>
      </c>
      <c r="D46" t="s">
        <v>599</v>
      </c>
      <c r="E46">
        <v>95.617000000000004</v>
      </c>
      <c r="F46">
        <v>0.38300000000000001</v>
      </c>
      <c r="G46" t="s">
        <v>197</v>
      </c>
      <c r="H46">
        <v>0.99600999999999995</v>
      </c>
    </row>
    <row r="47" spans="1:8" x14ac:dyDescent="0.25">
      <c r="A47" t="s">
        <v>173</v>
      </c>
      <c r="B47">
        <v>6</v>
      </c>
      <c r="C47">
        <v>96</v>
      </c>
      <c r="D47" t="s">
        <v>600</v>
      </c>
      <c r="E47">
        <v>95.840999999999994</v>
      </c>
      <c r="F47">
        <v>0.159</v>
      </c>
      <c r="G47" t="s">
        <v>197</v>
      </c>
      <c r="H47">
        <v>0.99834400000000001</v>
      </c>
    </row>
    <row r="48" spans="1:8" x14ac:dyDescent="0.25">
      <c r="A48" t="s">
        <v>173</v>
      </c>
      <c r="B48">
        <v>7</v>
      </c>
      <c r="C48">
        <v>96</v>
      </c>
      <c r="D48" t="s">
        <v>601</v>
      </c>
      <c r="E48">
        <v>73.798000000000002</v>
      </c>
      <c r="F48">
        <v>22.202000000000002</v>
      </c>
      <c r="G48" t="s">
        <v>187</v>
      </c>
      <c r="H48">
        <v>0.768729</v>
      </c>
    </row>
    <row r="49" spans="1:8" x14ac:dyDescent="0.25">
      <c r="A49" t="s">
        <v>174</v>
      </c>
      <c r="B49">
        <v>1</v>
      </c>
      <c r="C49">
        <v>144</v>
      </c>
      <c r="D49" t="s">
        <v>336</v>
      </c>
      <c r="E49">
        <v>44.517000000000003</v>
      </c>
      <c r="F49">
        <v>99.483000000000004</v>
      </c>
      <c r="G49" t="s">
        <v>187</v>
      </c>
      <c r="H49">
        <v>0.30914599999999998</v>
      </c>
    </row>
    <row r="50" spans="1:8" x14ac:dyDescent="0.25">
      <c r="A50" t="s">
        <v>175</v>
      </c>
      <c r="B50">
        <v>1</v>
      </c>
      <c r="C50">
        <v>96</v>
      </c>
      <c r="D50" t="s">
        <v>602</v>
      </c>
      <c r="E50">
        <v>94.117999999999995</v>
      </c>
      <c r="F50">
        <v>1.8819999999999999</v>
      </c>
      <c r="G50" t="s">
        <v>197</v>
      </c>
      <c r="H50">
        <v>0.98039600000000005</v>
      </c>
    </row>
    <row r="51" spans="1:8" x14ac:dyDescent="0.25">
      <c r="A51" t="s">
        <v>175</v>
      </c>
      <c r="B51">
        <v>2</v>
      </c>
      <c r="C51">
        <v>96</v>
      </c>
      <c r="D51" t="s">
        <v>603</v>
      </c>
      <c r="E51">
        <v>94.004000000000005</v>
      </c>
      <c r="F51">
        <v>1.996</v>
      </c>
      <c r="G51" t="s">
        <v>197</v>
      </c>
      <c r="H51">
        <v>0.97920799999999997</v>
      </c>
    </row>
    <row r="52" spans="1:8" x14ac:dyDescent="0.25">
      <c r="A52" t="s">
        <v>175</v>
      </c>
      <c r="B52">
        <v>3</v>
      </c>
      <c r="C52">
        <v>96</v>
      </c>
      <c r="D52" t="s">
        <v>604</v>
      </c>
      <c r="E52">
        <v>77.037999999999997</v>
      </c>
      <c r="F52">
        <v>18.962</v>
      </c>
      <c r="G52" t="s">
        <v>187</v>
      </c>
      <c r="H52">
        <v>0.80247900000000005</v>
      </c>
    </row>
    <row r="53" spans="1:8" x14ac:dyDescent="0.25">
      <c r="A53" t="s">
        <v>175</v>
      </c>
      <c r="B53">
        <v>4</v>
      </c>
      <c r="C53">
        <v>96</v>
      </c>
      <c r="D53" t="s">
        <v>605</v>
      </c>
      <c r="E53">
        <v>73.531999999999996</v>
      </c>
      <c r="F53">
        <v>22.468</v>
      </c>
      <c r="G53" t="s">
        <v>187</v>
      </c>
      <c r="H53">
        <v>0.76595800000000003</v>
      </c>
    </row>
    <row r="54" spans="1:8" x14ac:dyDescent="0.25">
      <c r="A54" t="s">
        <v>175</v>
      </c>
      <c r="B54">
        <v>5</v>
      </c>
      <c r="C54">
        <v>96</v>
      </c>
      <c r="D54" t="s">
        <v>606</v>
      </c>
      <c r="E54">
        <v>73.531999999999996</v>
      </c>
      <c r="F54">
        <v>22.468</v>
      </c>
      <c r="G54" t="s">
        <v>187</v>
      </c>
      <c r="H54">
        <v>0.76595800000000003</v>
      </c>
    </row>
    <row r="55" spans="1:8" x14ac:dyDescent="0.25">
      <c r="A55" t="s">
        <v>175</v>
      </c>
      <c r="B55">
        <v>6</v>
      </c>
      <c r="C55">
        <v>96</v>
      </c>
      <c r="D55" t="s">
        <v>607</v>
      </c>
      <c r="E55">
        <v>73.531999999999996</v>
      </c>
      <c r="F55">
        <v>22.468</v>
      </c>
      <c r="G55" t="s">
        <v>187</v>
      </c>
      <c r="H55">
        <v>0.76595800000000003</v>
      </c>
    </row>
    <row r="56" spans="1:8" x14ac:dyDescent="0.25">
      <c r="A56" t="s">
        <v>175</v>
      </c>
      <c r="B56">
        <v>7</v>
      </c>
      <c r="C56">
        <v>96</v>
      </c>
      <c r="D56" t="s">
        <v>608</v>
      </c>
      <c r="E56">
        <v>92.73</v>
      </c>
      <c r="F56">
        <v>3.27</v>
      </c>
      <c r="G56" t="s">
        <v>197</v>
      </c>
      <c r="H56">
        <v>0.96593799999999996</v>
      </c>
    </row>
    <row r="57" spans="1:8" x14ac:dyDescent="0.25">
      <c r="A57" t="s">
        <v>175</v>
      </c>
      <c r="B57">
        <v>8</v>
      </c>
      <c r="C57">
        <v>96</v>
      </c>
      <c r="D57" t="s">
        <v>609</v>
      </c>
      <c r="E57">
        <v>92.73</v>
      </c>
      <c r="F57">
        <v>3.27</v>
      </c>
      <c r="G57" t="s">
        <v>197</v>
      </c>
      <c r="H57">
        <v>0.96593799999999996</v>
      </c>
    </row>
    <row r="58" spans="1:8" x14ac:dyDescent="0.25">
      <c r="A58" t="s">
        <v>176</v>
      </c>
      <c r="B58">
        <v>1</v>
      </c>
      <c r="C58">
        <v>144</v>
      </c>
      <c r="D58" t="s">
        <v>610</v>
      </c>
      <c r="E58">
        <v>142.24199999999999</v>
      </c>
      <c r="F58">
        <v>1.758</v>
      </c>
      <c r="G58" t="s">
        <v>197</v>
      </c>
      <c r="H58">
        <v>0.987792</v>
      </c>
    </row>
    <row r="59" spans="1:8" x14ac:dyDescent="0.25">
      <c r="A59" t="s">
        <v>176</v>
      </c>
      <c r="B59">
        <v>2</v>
      </c>
      <c r="C59">
        <v>144</v>
      </c>
      <c r="D59" t="s">
        <v>611</v>
      </c>
      <c r="E59">
        <v>142.28800000000001</v>
      </c>
      <c r="F59">
        <v>1.712</v>
      </c>
      <c r="G59" t="s">
        <v>197</v>
      </c>
      <c r="H59">
        <v>0.98811099999999996</v>
      </c>
    </row>
    <row r="60" spans="1:8" x14ac:dyDescent="0.25">
      <c r="A60" t="s">
        <v>176</v>
      </c>
      <c r="B60">
        <v>3</v>
      </c>
      <c r="C60">
        <v>144</v>
      </c>
      <c r="D60" t="s">
        <v>612</v>
      </c>
      <c r="E60">
        <v>133.381</v>
      </c>
      <c r="F60">
        <v>10.619</v>
      </c>
      <c r="G60" t="s">
        <v>197</v>
      </c>
      <c r="H60">
        <v>0.926257</v>
      </c>
    </row>
    <row r="61" spans="1:8" x14ac:dyDescent="0.25">
      <c r="A61" t="s">
        <v>176</v>
      </c>
      <c r="B61">
        <v>4</v>
      </c>
      <c r="C61">
        <v>144</v>
      </c>
      <c r="D61" t="s">
        <v>613</v>
      </c>
      <c r="E61">
        <v>47.451000000000001</v>
      </c>
      <c r="F61">
        <v>96.549000000000007</v>
      </c>
      <c r="G61" t="s">
        <v>187</v>
      </c>
      <c r="H61">
        <v>0.32952100000000001</v>
      </c>
    </row>
    <row r="62" spans="1:8" x14ac:dyDescent="0.25">
      <c r="A62" t="s">
        <v>177</v>
      </c>
      <c r="B62">
        <v>1</v>
      </c>
      <c r="C62">
        <v>96</v>
      </c>
      <c r="D62" t="s">
        <v>614</v>
      </c>
      <c r="E62">
        <v>94.876999999999995</v>
      </c>
      <c r="F62">
        <v>1.123</v>
      </c>
      <c r="G62" t="s">
        <v>197</v>
      </c>
      <c r="H62">
        <v>0.98830200000000001</v>
      </c>
    </row>
    <row r="63" spans="1:8" x14ac:dyDescent="0.25">
      <c r="A63" t="s">
        <v>177</v>
      </c>
      <c r="B63">
        <v>2</v>
      </c>
      <c r="C63">
        <v>96</v>
      </c>
      <c r="D63" t="s">
        <v>615</v>
      </c>
      <c r="E63">
        <v>92.48</v>
      </c>
      <c r="F63">
        <v>3.52</v>
      </c>
      <c r="G63" t="s">
        <v>197</v>
      </c>
      <c r="H63">
        <v>0.96333299999999999</v>
      </c>
    </row>
    <row r="64" spans="1:8" x14ac:dyDescent="0.25">
      <c r="A64" t="s">
        <v>177</v>
      </c>
      <c r="B64">
        <v>3</v>
      </c>
      <c r="C64">
        <v>96</v>
      </c>
      <c r="D64" t="s">
        <v>616</v>
      </c>
      <c r="E64">
        <v>92.48</v>
      </c>
      <c r="F64">
        <v>3.52</v>
      </c>
      <c r="G64" t="s">
        <v>197</v>
      </c>
      <c r="H64">
        <v>0.96333299999999999</v>
      </c>
    </row>
    <row r="65" spans="1:8" x14ac:dyDescent="0.25">
      <c r="A65" t="s">
        <v>177</v>
      </c>
      <c r="B65">
        <v>4</v>
      </c>
      <c r="C65">
        <v>96</v>
      </c>
      <c r="D65" t="s">
        <v>617</v>
      </c>
      <c r="E65">
        <v>92.358000000000004</v>
      </c>
      <c r="F65">
        <v>3.6419999999999999</v>
      </c>
      <c r="G65" t="s">
        <v>197</v>
      </c>
      <c r="H65">
        <v>0.962063</v>
      </c>
    </row>
    <row r="66" spans="1:8" x14ac:dyDescent="0.25">
      <c r="A66" t="s">
        <v>177</v>
      </c>
      <c r="B66">
        <v>5</v>
      </c>
      <c r="C66">
        <v>96</v>
      </c>
      <c r="D66" t="s">
        <v>618</v>
      </c>
      <c r="E66">
        <v>91.932000000000002</v>
      </c>
      <c r="F66">
        <v>4.0679999999999996</v>
      </c>
      <c r="G66" t="s">
        <v>197</v>
      </c>
      <c r="H66">
        <v>0.95762499999999995</v>
      </c>
    </row>
    <row r="67" spans="1:8" x14ac:dyDescent="0.25">
      <c r="A67" t="s">
        <v>177</v>
      </c>
      <c r="B67">
        <v>6</v>
      </c>
      <c r="C67">
        <v>96</v>
      </c>
      <c r="D67" t="s">
        <v>619</v>
      </c>
      <c r="E67">
        <v>88.997</v>
      </c>
      <c r="F67">
        <v>7.0030000000000001</v>
      </c>
      <c r="G67" t="s">
        <v>197</v>
      </c>
      <c r="H67">
        <v>0.92705199999999999</v>
      </c>
    </row>
    <row r="68" spans="1:8" x14ac:dyDescent="0.25">
      <c r="A68" t="s">
        <v>177</v>
      </c>
      <c r="B68">
        <v>7</v>
      </c>
      <c r="C68">
        <v>96</v>
      </c>
      <c r="D68" t="s">
        <v>620</v>
      </c>
      <c r="E68">
        <v>85.445999999999998</v>
      </c>
      <c r="F68">
        <v>10.554</v>
      </c>
      <c r="G68" t="s">
        <v>197</v>
      </c>
      <c r="H68">
        <v>0.89006300000000005</v>
      </c>
    </row>
    <row r="69" spans="1:8" x14ac:dyDescent="0.25">
      <c r="A69" t="s">
        <v>177</v>
      </c>
      <c r="B69">
        <v>8</v>
      </c>
      <c r="C69">
        <v>96</v>
      </c>
      <c r="D69" t="s">
        <v>621</v>
      </c>
      <c r="E69">
        <v>74.367999999999995</v>
      </c>
      <c r="F69">
        <v>21.632000000000001</v>
      </c>
      <c r="G69" t="s">
        <v>187</v>
      </c>
      <c r="H69">
        <v>0.77466699999999999</v>
      </c>
    </row>
    <row r="70" spans="1:8" x14ac:dyDescent="0.25">
      <c r="A70" t="s">
        <v>177</v>
      </c>
      <c r="B70">
        <v>9</v>
      </c>
      <c r="C70">
        <v>96</v>
      </c>
      <c r="D70" t="s">
        <v>622</v>
      </c>
      <c r="E70">
        <v>48.63</v>
      </c>
      <c r="F70">
        <v>47.37</v>
      </c>
      <c r="G70" t="s">
        <v>187</v>
      </c>
      <c r="H70">
        <v>0.50656299999999999</v>
      </c>
    </row>
    <row r="71" spans="1:8" x14ac:dyDescent="0.25">
      <c r="A71" t="s">
        <v>178</v>
      </c>
      <c r="B71">
        <v>1</v>
      </c>
      <c r="C71">
        <v>144</v>
      </c>
      <c r="D71" t="s">
        <v>623</v>
      </c>
      <c r="E71">
        <v>139.96799999999999</v>
      </c>
      <c r="F71">
        <v>4.032</v>
      </c>
      <c r="G71" t="s">
        <v>197</v>
      </c>
      <c r="H71">
        <v>0.97199999999999998</v>
      </c>
    </row>
    <row r="72" spans="1:8" x14ac:dyDescent="0.25">
      <c r="A72" t="s">
        <v>178</v>
      </c>
      <c r="B72">
        <v>2</v>
      </c>
      <c r="C72">
        <v>144</v>
      </c>
      <c r="D72" t="s">
        <v>624</v>
      </c>
      <c r="E72">
        <v>139.96799999999999</v>
      </c>
      <c r="F72">
        <v>4.032</v>
      </c>
      <c r="G72" t="s">
        <v>197</v>
      </c>
      <c r="H72">
        <v>0.97199999999999998</v>
      </c>
    </row>
    <row r="73" spans="1:8" x14ac:dyDescent="0.25">
      <c r="A73" t="s">
        <v>178</v>
      </c>
      <c r="B73">
        <v>3</v>
      </c>
      <c r="C73">
        <v>144</v>
      </c>
      <c r="D73" t="s">
        <v>625</v>
      </c>
      <c r="E73">
        <v>139.339</v>
      </c>
      <c r="F73">
        <v>4.6609999999999996</v>
      </c>
      <c r="G73" t="s">
        <v>197</v>
      </c>
      <c r="H73">
        <v>0.96763200000000005</v>
      </c>
    </row>
    <row r="74" spans="1:8" x14ac:dyDescent="0.25">
      <c r="A74" t="s">
        <v>178</v>
      </c>
      <c r="B74">
        <v>4</v>
      </c>
      <c r="C74">
        <v>144</v>
      </c>
      <c r="D74" t="s">
        <v>626</v>
      </c>
      <c r="E74">
        <v>19.225999999999999</v>
      </c>
      <c r="F74">
        <v>124.774</v>
      </c>
      <c r="G74" t="s">
        <v>187</v>
      </c>
      <c r="H74">
        <v>0.13351399999999999</v>
      </c>
    </row>
    <row r="75" spans="1:8" x14ac:dyDescent="0.25">
      <c r="A75" t="s">
        <v>179</v>
      </c>
      <c r="B75">
        <v>1</v>
      </c>
      <c r="C75">
        <v>96</v>
      </c>
      <c r="D75" t="s">
        <v>627</v>
      </c>
      <c r="E75">
        <v>91.744</v>
      </c>
      <c r="F75">
        <v>4.2560000000000002</v>
      </c>
      <c r="G75" t="s">
        <v>197</v>
      </c>
      <c r="H75">
        <v>0.95566700000000004</v>
      </c>
    </row>
    <row r="76" spans="1:8" x14ac:dyDescent="0.25">
      <c r="A76" t="s">
        <v>179</v>
      </c>
      <c r="B76">
        <v>2</v>
      </c>
      <c r="C76">
        <v>96</v>
      </c>
      <c r="D76" t="s">
        <v>628</v>
      </c>
      <c r="E76">
        <v>91.744</v>
      </c>
      <c r="F76">
        <v>4.2560000000000002</v>
      </c>
      <c r="G76" t="s">
        <v>197</v>
      </c>
      <c r="H76">
        <v>0.95566700000000004</v>
      </c>
    </row>
    <row r="77" spans="1:8" x14ac:dyDescent="0.25">
      <c r="A77" t="s">
        <v>179</v>
      </c>
      <c r="B77">
        <v>3</v>
      </c>
      <c r="C77">
        <v>96</v>
      </c>
      <c r="D77" t="s">
        <v>629</v>
      </c>
      <c r="E77">
        <v>91.744</v>
      </c>
      <c r="F77">
        <v>4.2560000000000002</v>
      </c>
      <c r="G77" t="s">
        <v>197</v>
      </c>
      <c r="H77">
        <v>0.95566700000000004</v>
      </c>
    </row>
    <row r="78" spans="1:8" x14ac:dyDescent="0.25">
      <c r="A78" t="s">
        <v>179</v>
      </c>
      <c r="B78">
        <v>4</v>
      </c>
      <c r="C78">
        <v>96</v>
      </c>
      <c r="D78" t="s">
        <v>630</v>
      </c>
      <c r="E78">
        <v>90.46</v>
      </c>
      <c r="F78">
        <v>5.54</v>
      </c>
      <c r="G78" t="s">
        <v>197</v>
      </c>
      <c r="H78">
        <v>0.94229200000000002</v>
      </c>
    </row>
    <row r="79" spans="1:8" x14ac:dyDescent="0.25">
      <c r="A79" t="s">
        <v>179</v>
      </c>
      <c r="B79">
        <v>5</v>
      </c>
      <c r="C79">
        <v>96</v>
      </c>
      <c r="D79" t="s">
        <v>631</v>
      </c>
      <c r="E79">
        <v>90.46</v>
      </c>
      <c r="F79">
        <v>5.54</v>
      </c>
      <c r="G79" t="s">
        <v>197</v>
      </c>
      <c r="H79">
        <v>0.94229200000000002</v>
      </c>
    </row>
    <row r="80" spans="1:8" x14ac:dyDescent="0.25">
      <c r="A80" t="s">
        <v>179</v>
      </c>
      <c r="B80">
        <v>6</v>
      </c>
      <c r="C80">
        <v>96</v>
      </c>
      <c r="D80" t="s">
        <v>632</v>
      </c>
      <c r="E80">
        <v>95.408000000000001</v>
      </c>
      <c r="F80">
        <v>0.59199999999999997</v>
      </c>
      <c r="G80" t="s">
        <v>197</v>
      </c>
      <c r="H80">
        <v>0.99383299999999997</v>
      </c>
    </row>
    <row r="81" spans="1:8" x14ac:dyDescent="0.25">
      <c r="A81" t="s">
        <v>179</v>
      </c>
      <c r="B81">
        <v>7</v>
      </c>
      <c r="C81">
        <v>96</v>
      </c>
      <c r="D81" t="s">
        <v>633</v>
      </c>
      <c r="E81">
        <v>84.71</v>
      </c>
      <c r="F81">
        <v>11.29</v>
      </c>
      <c r="G81" t="s">
        <v>197</v>
      </c>
      <c r="H81">
        <v>0.88239599999999996</v>
      </c>
    </row>
    <row r="82" spans="1:8" x14ac:dyDescent="0.25">
      <c r="A82" t="s">
        <v>179</v>
      </c>
      <c r="B82">
        <v>8</v>
      </c>
      <c r="C82">
        <v>96</v>
      </c>
      <c r="D82" t="s">
        <v>634</v>
      </c>
      <c r="E82">
        <v>83.022000000000006</v>
      </c>
      <c r="F82">
        <v>12.978</v>
      </c>
      <c r="G82" t="s">
        <v>187</v>
      </c>
      <c r="H82">
        <v>0.86481300000000005</v>
      </c>
    </row>
    <row r="83" spans="1:8" x14ac:dyDescent="0.25">
      <c r="A83" t="s">
        <v>179</v>
      </c>
      <c r="B83">
        <v>9</v>
      </c>
      <c r="C83">
        <v>96</v>
      </c>
      <c r="D83" t="s">
        <v>635</v>
      </c>
      <c r="E83">
        <v>81.334000000000003</v>
      </c>
      <c r="F83">
        <v>14.666</v>
      </c>
      <c r="G83" t="s">
        <v>187</v>
      </c>
      <c r="H83">
        <v>0.84722900000000001</v>
      </c>
    </row>
    <row r="84" spans="1:8" x14ac:dyDescent="0.25">
      <c r="A84" t="s">
        <v>179</v>
      </c>
      <c r="B84">
        <v>10</v>
      </c>
      <c r="C84">
        <v>96</v>
      </c>
      <c r="D84" t="s">
        <v>636</v>
      </c>
      <c r="E84">
        <v>81.334000000000003</v>
      </c>
      <c r="F84">
        <v>14.666</v>
      </c>
      <c r="G84" t="s">
        <v>187</v>
      </c>
      <c r="H84">
        <v>0.84722900000000001</v>
      </c>
    </row>
    <row r="85" spans="1:8" x14ac:dyDescent="0.25">
      <c r="A85" t="s">
        <v>180</v>
      </c>
      <c r="B85">
        <v>1</v>
      </c>
      <c r="C85">
        <v>144</v>
      </c>
      <c r="D85" t="s">
        <v>637</v>
      </c>
      <c r="E85">
        <v>143.589</v>
      </c>
      <c r="F85">
        <v>0.41099999999999998</v>
      </c>
      <c r="G85" t="s">
        <v>197</v>
      </c>
      <c r="H85">
        <v>0.99714599999999998</v>
      </c>
    </row>
    <row r="86" spans="1:8" x14ac:dyDescent="0.25">
      <c r="A86" t="s">
        <v>180</v>
      </c>
      <c r="B86">
        <v>2</v>
      </c>
      <c r="C86">
        <v>144</v>
      </c>
      <c r="D86" t="s">
        <v>638</v>
      </c>
      <c r="E86">
        <v>143.15299999999999</v>
      </c>
      <c r="F86">
        <v>0.84699999999999998</v>
      </c>
      <c r="G86" t="s">
        <v>197</v>
      </c>
      <c r="H86">
        <v>0.99411799999999995</v>
      </c>
    </row>
    <row r="87" spans="1:8" x14ac:dyDescent="0.25">
      <c r="A87" t="s">
        <v>180</v>
      </c>
      <c r="B87">
        <v>3</v>
      </c>
      <c r="C87">
        <v>144</v>
      </c>
      <c r="D87" t="s">
        <v>639</v>
      </c>
      <c r="E87">
        <v>139.465</v>
      </c>
      <c r="F87">
        <v>4.5350000000000001</v>
      </c>
      <c r="G87" t="s">
        <v>197</v>
      </c>
      <c r="H87">
        <v>0.96850700000000001</v>
      </c>
    </row>
    <row r="88" spans="1:8" x14ac:dyDescent="0.25">
      <c r="A88" t="s">
        <v>180</v>
      </c>
      <c r="B88">
        <v>4</v>
      </c>
      <c r="C88">
        <v>144</v>
      </c>
      <c r="D88" t="s">
        <v>640</v>
      </c>
      <c r="E88">
        <v>16.686</v>
      </c>
      <c r="F88">
        <v>127.31399999999999</v>
      </c>
      <c r="G88" t="s">
        <v>187</v>
      </c>
      <c r="H88">
        <v>0.11587500000000001</v>
      </c>
    </row>
    <row r="89" spans="1:8" x14ac:dyDescent="0.25">
      <c r="A89" t="s">
        <v>181</v>
      </c>
      <c r="B89">
        <v>1</v>
      </c>
      <c r="C89">
        <v>96</v>
      </c>
      <c r="D89" t="s">
        <v>641</v>
      </c>
      <c r="E89">
        <v>93.05</v>
      </c>
      <c r="F89">
        <v>2.95</v>
      </c>
      <c r="G89" t="s">
        <v>197</v>
      </c>
      <c r="H89">
        <v>0.96927099999999999</v>
      </c>
    </row>
    <row r="90" spans="1:8" x14ac:dyDescent="0.25">
      <c r="A90" t="s">
        <v>181</v>
      </c>
      <c r="B90">
        <v>2</v>
      </c>
      <c r="C90">
        <v>96</v>
      </c>
      <c r="D90" t="s">
        <v>642</v>
      </c>
      <c r="E90">
        <v>91.997</v>
      </c>
      <c r="F90">
        <v>4.0030000000000001</v>
      </c>
      <c r="G90" t="s">
        <v>197</v>
      </c>
      <c r="H90">
        <v>0.95830199999999999</v>
      </c>
    </row>
    <row r="91" spans="1:8" x14ac:dyDescent="0.25">
      <c r="A91" t="s">
        <v>181</v>
      </c>
      <c r="B91">
        <v>3</v>
      </c>
      <c r="C91">
        <v>96</v>
      </c>
      <c r="D91" t="s">
        <v>643</v>
      </c>
      <c r="E91">
        <v>94.992000000000004</v>
      </c>
      <c r="F91">
        <v>1.008</v>
      </c>
      <c r="G91" t="s">
        <v>197</v>
      </c>
      <c r="H91">
        <v>0.98950000000000005</v>
      </c>
    </row>
    <row r="92" spans="1:8" x14ac:dyDescent="0.25">
      <c r="A92" t="s">
        <v>181</v>
      </c>
      <c r="B92">
        <v>4</v>
      </c>
      <c r="C92">
        <v>96</v>
      </c>
      <c r="D92" t="s">
        <v>644</v>
      </c>
      <c r="E92">
        <v>39.387</v>
      </c>
      <c r="F92">
        <v>56.613</v>
      </c>
      <c r="G92" t="s">
        <v>187</v>
      </c>
      <c r="H92">
        <v>0.41028100000000001</v>
      </c>
    </row>
    <row r="93" spans="1:8" x14ac:dyDescent="0.25">
      <c r="A93" t="s">
        <v>182</v>
      </c>
      <c r="B93">
        <v>1</v>
      </c>
      <c r="C93">
        <v>144</v>
      </c>
      <c r="D93" t="s">
        <v>645</v>
      </c>
      <c r="E93">
        <v>136.50299999999999</v>
      </c>
      <c r="F93">
        <v>7.4969999999999999</v>
      </c>
      <c r="G93" t="s">
        <v>197</v>
      </c>
      <c r="H93">
        <v>0.94793799999999995</v>
      </c>
    </row>
    <row r="94" spans="1:8" x14ac:dyDescent="0.25">
      <c r="A94" t="s">
        <v>182</v>
      </c>
      <c r="B94">
        <v>2</v>
      </c>
      <c r="C94">
        <v>144</v>
      </c>
      <c r="D94" t="s">
        <v>646</v>
      </c>
      <c r="E94">
        <v>135.26599999999999</v>
      </c>
      <c r="F94">
        <v>8.734</v>
      </c>
      <c r="G94" t="s">
        <v>197</v>
      </c>
      <c r="H94">
        <v>0.93934700000000004</v>
      </c>
    </row>
    <row r="95" spans="1:8" x14ac:dyDescent="0.25">
      <c r="A95" t="s">
        <v>182</v>
      </c>
      <c r="B95">
        <v>3</v>
      </c>
      <c r="C95">
        <v>144</v>
      </c>
      <c r="D95" t="s">
        <v>647</v>
      </c>
      <c r="E95">
        <v>29.954999999999998</v>
      </c>
      <c r="F95">
        <v>114.045</v>
      </c>
      <c r="G95" t="s">
        <v>187</v>
      </c>
      <c r="H95">
        <v>0.20802100000000001</v>
      </c>
    </row>
    <row r="96" spans="1:8" x14ac:dyDescent="0.25">
      <c r="A96" t="s">
        <v>183</v>
      </c>
      <c r="B96">
        <v>1</v>
      </c>
      <c r="C96">
        <v>96</v>
      </c>
      <c r="D96" t="s">
        <v>648</v>
      </c>
      <c r="E96">
        <v>87.337999999999994</v>
      </c>
      <c r="F96">
        <v>8.6620000000000008</v>
      </c>
      <c r="G96" t="s">
        <v>197</v>
      </c>
      <c r="H96">
        <v>0.909771</v>
      </c>
    </row>
    <row r="97" spans="1:8" x14ac:dyDescent="0.25">
      <c r="A97" t="s">
        <v>183</v>
      </c>
      <c r="B97">
        <v>2</v>
      </c>
      <c r="C97">
        <v>96</v>
      </c>
      <c r="D97" t="s">
        <v>649</v>
      </c>
      <c r="E97">
        <v>87.337999999999994</v>
      </c>
      <c r="F97">
        <v>8.6620000000000008</v>
      </c>
      <c r="G97" t="s">
        <v>197</v>
      </c>
      <c r="H97">
        <v>0.909771</v>
      </c>
    </row>
    <row r="98" spans="1:8" x14ac:dyDescent="0.25">
      <c r="A98" t="s">
        <v>183</v>
      </c>
      <c r="B98">
        <v>3</v>
      </c>
      <c r="C98">
        <v>96</v>
      </c>
      <c r="D98" t="s">
        <v>650</v>
      </c>
      <c r="E98">
        <v>87.09</v>
      </c>
      <c r="F98">
        <v>8.91</v>
      </c>
      <c r="G98" t="s">
        <v>197</v>
      </c>
      <c r="H98">
        <v>0.90718799999999999</v>
      </c>
    </row>
    <row r="99" spans="1:8" x14ac:dyDescent="0.25">
      <c r="A99" t="s">
        <v>183</v>
      </c>
      <c r="B99">
        <v>4</v>
      </c>
      <c r="C99">
        <v>96</v>
      </c>
      <c r="D99" t="s">
        <v>651</v>
      </c>
      <c r="E99">
        <v>91.808999999999997</v>
      </c>
      <c r="F99">
        <v>4.1909999999999998</v>
      </c>
      <c r="G99" t="s">
        <v>197</v>
      </c>
      <c r="H99">
        <v>0.95634399999999997</v>
      </c>
    </row>
    <row r="100" spans="1:8" x14ac:dyDescent="0.25">
      <c r="A100" t="s">
        <v>183</v>
      </c>
      <c r="B100">
        <v>5</v>
      </c>
      <c r="C100">
        <v>96</v>
      </c>
      <c r="D100" t="s">
        <v>652</v>
      </c>
      <c r="E100">
        <v>91.808999999999997</v>
      </c>
      <c r="F100">
        <v>4.1909999999999998</v>
      </c>
      <c r="G100" t="s">
        <v>197</v>
      </c>
      <c r="H100">
        <v>0.95634399999999997</v>
      </c>
    </row>
    <row r="101" spans="1:8" x14ac:dyDescent="0.25">
      <c r="A101" t="s">
        <v>183</v>
      </c>
      <c r="B101">
        <v>6</v>
      </c>
      <c r="C101">
        <v>96</v>
      </c>
      <c r="D101" t="s">
        <v>653</v>
      </c>
      <c r="E101">
        <v>91.808999999999997</v>
      </c>
      <c r="F101">
        <v>4.1909999999999998</v>
      </c>
      <c r="G101" t="s">
        <v>197</v>
      </c>
      <c r="H101">
        <v>0.95634399999999997</v>
      </c>
    </row>
    <row r="102" spans="1:8" x14ac:dyDescent="0.25">
      <c r="A102" t="s">
        <v>183</v>
      </c>
      <c r="B102">
        <v>7</v>
      </c>
      <c r="C102">
        <v>96</v>
      </c>
      <c r="D102" t="s">
        <v>654</v>
      </c>
      <c r="E102">
        <v>95.081999999999994</v>
      </c>
      <c r="F102">
        <v>0.91800000000000004</v>
      </c>
      <c r="G102" t="s">
        <v>197</v>
      </c>
      <c r="H102">
        <v>0.99043800000000004</v>
      </c>
    </row>
    <row r="103" spans="1:8" x14ac:dyDescent="0.25">
      <c r="A103" t="s">
        <v>183</v>
      </c>
      <c r="B103">
        <v>8</v>
      </c>
      <c r="C103">
        <v>96</v>
      </c>
      <c r="D103" t="s">
        <v>655</v>
      </c>
      <c r="E103">
        <v>95.700999999999993</v>
      </c>
      <c r="F103">
        <v>0.29899999999999999</v>
      </c>
      <c r="G103" t="s">
        <v>197</v>
      </c>
      <c r="H103">
        <v>0.99688500000000002</v>
      </c>
    </row>
    <row r="104" spans="1:8" x14ac:dyDescent="0.25">
      <c r="A104" t="s">
        <v>183</v>
      </c>
      <c r="B104">
        <v>9</v>
      </c>
      <c r="C104">
        <v>96</v>
      </c>
      <c r="D104" t="s">
        <v>656</v>
      </c>
      <c r="E104">
        <v>37.067999999999998</v>
      </c>
      <c r="F104">
        <v>58.932000000000002</v>
      </c>
      <c r="G104" t="s">
        <v>187</v>
      </c>
      <c r="H104">
        <v>0.386125</v>
      </c>
    </row>
  </sheetData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8</vt:i4>
      </vt:variant>
    </vt:vector>
  </HeadingPairs>
  <TitlesOfParts>
    <vt:vector size="14" baseType="lpstr">
      <vt:lpstr>INPUT_PARTS</vt:lpstr>
      <vt:lpstr>MATERIAL_SUMMARY</vt:lpstr>
      <vt:lpstr>PURCHASE_PLAN</vt:lpstr>
      <vt:lpstr>NEST_BASIC</vt:lpstr>
      <vt:lpstr>NEST_FINAL</vt:lpstr>
      <vt:lpstr>CUTLIST</vt:lpstr>
      <vt:lpstr>DefaultFaceAllow_in</vt:lpstr>
      <vt:lpstr>DefaultKerf_in</vt:lpstr>
      <vt:lpstr>LastCutlistGen</vt:lpstr>
      <vt:lpstr>LastFinalRun</vt:lpstr>
      <vt:lpstr>Materials</vt:lpstr>
      <vt:lpstr>MaxPartRows</vt:lpstr>
      <vt:lpstr>MaxPieces</vt:lpstr>
      <vt:lpstr>MinRemnantKeep_in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Jyothish Sudhakaran</dc:creator>
  <cp:lastModifiedBy>Jyothish Sudhakaran</cp:lastModifiedBy>
  <dcterms:created xsi:type="dcterms:W3CDTF">2026-03-13T03:07:48Z</dcterms:created>
  <dcterms:modified xsi:type="dcterms:W3CDTF">2026-03-13T03:07:50Z</dcterms:modified>
</cp:coreProperties>
</file>